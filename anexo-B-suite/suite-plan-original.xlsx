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Registro de ejecución" sheetId="2" state="visible" r:id="rId2"/>
    <sheet name="Reporte de defectos" sheetId="3" state="visible" r:id="rId3"/>
    <sheet name="Resumen" sheetId="4" state="visible" r:id="rId4"/>
  </sheets>
  <definedNames>
    <definedName name="_xlnm._FilterDatabase" localSheetId="0" hidden="1">'Casos de prueba'!$A$4:$I$52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2" customWidth="1" min="4" max="4"/>
    <col width="26" customWidth="1" min="5" max="5"/>
    <col width="38" customWidth="1" min="6" max="6"/>
    <col width="24" customWidth="1" min="7" max="7"/>
    <col width="42" customWidth="1" min="8" max="8"/>
    <col width="40" customWidth="1" min="9" max="9"/>
  </cols>
  <sheetData>
    <row r="1">
      <c r="A1" s="1" t="inlineStr">
        <is>
          <t>Suite de casos de prueba. Sistema bajo prueba: Demoblaze</t>
        </is>
      </c>
    </row>
    <row r="2">
      <c r="A2" s="2" t="inlineStr">
        <is>
          <t>Entregable 2 del plan de pruebas. Prioridad según el apartado 3.6 del plan: primero la compra, luego autenticacion y registro, al final catalogo, contacto e interfaz.</t>
        </is>
      </c>
    </row>
    <row r="3"/>
    <row r="4">
      <c r="A4" s="3" t="inlineStr">
        <is>
          <t>ID</t>
        </is>
      </c>
      <c r="B4" s="3" t="inlineStr">
        <is>
          <t>Módulo</t>
        </is>
      </c>
      <c r="C4" s="3" t="inlineStr">
        <is>
          <t>Prioridad</t>
        </is>
      </c>
      <c r="D4" s="3" t="inlineStr">
        <is>
          <t>Técnica de diseño</t>
        </is>
      </c>
      <c r="E4" s="3" t="inlineStr">
        <is>
          <t>Precondiciones</t>
        </is>
      </c>
      <c r="F4" s="3" t="inlineStr">
        <is>
          <t>Pasos</t>
        </is>
      </c>
      <c r="G4" s="3" t="inlineStr">
        <is>
          <t>Datos de prueba</t>
        </is>
      </c>
      <c r="H4" s="3" t="inlineStr">
        <is>
          <t>Resultado esperado</t>
        </is>
      </c>
      <c r="I4" s="3" t="inlineStr">
        <is>
          <t>Criterio de referencia</t>
        </is>
      </c>
    </row>
    <row r="5" ht="58" customHeight="1">
      <c r="A5" s="4" t="inlineStr">
        <is>
          <t>CP-CAT-01</t>
        </is>
      </c>
      <c r="B5" s="4" t="inlineStr">
        <is>
          <t>Catálogo</t>
        </is>
      </c>
      <c r="C5" s="4" t="inlineStr">
        <is>
          <t>Media</t>
        </is>
      </c>
      <c r="D5" s="4" t="inlineStr">
        <is>
          <t>Exploratoria</t>
        </is>
      </c>
      <c r="E5" s="4" t="inlineStr">
        <is>
          <t>Navegador abierto en la URL base.</t>
        </is>
      </c>
      <c r="F5" s="4" t="inlineStr">
        <is>
          <t>1. Cargar la página principal.
2. Observar la rejilla de productos.</t>
        </is>
      </c>
      <c r="G5" s="4" t="inlineStr">
        <is>
          <t>N/A</t>
        </is>
      </c>
      <c r="H5" s="4" t="inlineStr">
        <is>
          <t>Se muestran productos con nombre, precio, descripción e imagen. No hay espacios vacíos ni imágenes rotas.</t>
        </is>
      </c>
      <c r="I5" s="4" t="inlineStr">
        <is>
          <t>ISO/IEC 25010, adecuación funcional: el sistema hace lo que se espera de una tienda en línea.</t>
        </is>
      </c>
    </row>
    <row r="6" ht="58" customHeight="1">
      <c r="A6" s="4" t="inlineStr">
        <is>
          <t>CP-CAT-02</t>
        </is>
      </c>
      <c r="B6" s="4" t="inlineStr">
        <is>
          <t>Catálogo</t>
        </is>
      </c>
      <c r="C6" s="4" t="inlineStr">
        <is>
          <t>Media</t>
        </is>
      </c>
      <c r="D6" s="4" t="inlineStr">
        <is>
          <t>Partición de equivalencias</t>
        </is>
      </c>
      <c r="E6" s="4" t="inlineStr">
        <is>
          <t>Página principal cargada.</t>
        </is>
      </c>
      <c r="F6" s="4" t="inlineStr">
        <is>
          <t>1. Pulsar la categoría Phones.
2. Revisar los productos listados.</t>
        </is>
      </c>
      <c r="G6" s="4" t="inlineStr">
        <is>
          <t>Categoría: Phones</t>
        </is>
      </c>
      <c r="H6" s="4" t="inlineStr">
        <is>
          <t>Solo se listan teléfonos. Ningún portátil ni monitor aparece en el resultado.</t>
        </is>
      </c>
      <c r="I6" s="4" t="inlineStr">
        <is>
          <t>ISO/IEC 25010, adecuación funcional: el sistema hace lo que se espera de una tienda en línea.</t>
        </is>
      </c>
    </row>
    <row r="7" ht="58" customHeight="1">
      <c r="A7" s="4" t="inlineStr">
        <is>
          <t>CP-CAT-03</t>
        </is>
      </c>
      <c r="B7" s="4" t="inlineStr">
        <is>
          <t>Catálogo</t>
        </is>
      </c>
      <c r="C7" s="4" t="inlineStr">
        <is>
          <t>Media</t>
        </is>
      </c>
      <c r="D7" s="4" t="inlineStr">
        <is>
          <t>Transición de estados</t>
        </is>
      </c>
      <c r="E7" s="4" t="inlineStr">
        <is>
          <t>Página principal cargada.</t>
        </is>
      </c>
      <c r="F7" s="4" t="inlineStr">
        <is>
          <t>1. Pulsar Laptops.
2. Pulsar Monitors.
3. Pulsar Home.</t>
        </is>
      </c>
      <c r="G7" s="4" t="inlineStr">
        <is>
          <t>Categorías: Laptops, Monitors</t>
        </is>
      </c>
      <c r="H7" s="4" t="inlineStr">
        <is>
          <t>Cada filtro reemplaza el listado anterior. Home restaura el catálogo completo sin residuos del filtro previo.</t>
        </is>
      </c>
      <c r="I7" s="4" t="inlineStr">
        <is>
          <t>ISO/IEC 25010, adecuación funcional: el sistema hace lo que se espera de una tienda en línea.</t>
        </is>
      </c>
    </row>
    <row r="8" ht="58" customHeight="1">
      <c r="A8" s="4" t="inlineStr">
        <is>
          <t>CP-CAT-04</t>
        </is>
      </c>
      <c r="B8" s="4" t="inlineStr">
        <is>
          <t>Catálogo</t>
        </is>
      </c>
      <c r="C8" s="4" t="inlineStr">
        <is>
          <t>Baja</t>
        </is>
      </c>
      <c r="D8" s="4" t="inlineStr">
        <is>
          <t>Transición de estados</t>
        </is>
      </c>
      <c r="E8" s="4" t="inlineStr">
        <is>
          <t>Página principal con más de una página de resultados.</t>
        </is>
      </c>
      <c r="F8" s="4" t="inlineStr">
        <is>
          <t>1. Pulsar Next.
2. Pulsar Previous.</t>
        </is>
      </c>
      <c r="G8" s="4" t="inlineStr">
        <is>
          <t>N/A</t>
        </is>
      </c>
      <c r="H8" s="4" t="inlineStr">
        <is>
          <t>Next avanza a la siguiente página y Previous regresa a la anterior mostrando los mismos productos iniciales.</t>
        </is>
      </c>
      <c r="I8" s="4" t="inlineStr">
        <is>
          <t>ISO/IEC 25010, adecuación funcional: el sistema hace lo que se espera de una tienda en línea.</t>
        </is>
      </c>
    </row>
    <row r="9" ht="58" customHeight="1">
      <c r="A9" s="4" t="inlineStr">
        <is>
          <t>CP-CAT-05</t>
        </is>
      </c>
      <c r="B9" s="4" t="inlineStr">
        <is>
          <t>Catálogo</t>
        </is>
      </c>
      <c r="C9" s="4" t="inlineStr">
        <is>
          <t>Media</t>
        </is>
      </c>
      <c r="D9" s="4" t="inlineStr">
        <is>
          <t>Verificación de consistencia</t>
        </is>
      </c>
      <c r="E9" s="4" t="inlineStr">
        <is>
          <t>Página principal cargada.</t>
        </is>
      </c>
      <c r="F9" s="4" t="inlineStr">
        <is>
          <t>1. Anotar el precio de un producto del listado.
2. Abrir su ficha de detalle.
3. Comparar ambos precios.</t>
        </is>
      </c>
      <c r="G9" s="4" t="inlineStr">
        <is>
          <t>Producto: Samsung galaxy s6</t>
        </is>
      </c>
      <c r="H9" s="4" t="inlineStr">
        <is>
          <t>El precio del listado y el del detalle coinciden exactamente.</t>
        </is>
      </c>
      <c r="I9" s="4" t="inlineStr">
        <is>
          <t>Coherencia interna: dos vistas del mismo dato deben coincidir.</t>
        </is>
      </c>
    </row>
    <row r="10" ht="58" customHeight="1">
      <c r="A10" s="4" t="inlineStr">
        <is>
          <t>CP-DET-01</t>
        </is>
      </c>
      <c r="B10" s="4" t="inlineStr">
        <is>
          <t>Detalle de producto</t>
        </is>
      </c>
      <c r="C10" s="4" t="inlineStr">
        <is>
          <t>Alta</t>
        </is>
      </c>
      <c r="D10" s="4" t="inlineStr">
        <is>
          <t>Partición de equivalencias</t>
        </is>
      </c>
      <c r="E10" s="4" t="inlineStr">
        <is>
          <t>Página principal cargada.</t>
        </is>
      </c>
      <c r="F10" s="4" t="inlineStr">
        <is>
          <t>1. Pulsar el nombre de un producto.</t>
        </is>
      </c>
      <c r="G10" s="4" t="inlineStr">
        <is>
          <t>Producto: Nexus 6</t>
        </is>
      </c>
      <c r="H10" s="4" t="inlineStr">
        <is>
          <t>Se abre la ficha con nombre, precio, descripción e imagen correspondientes al producto seleccionado.</t>
        </is>
      </c>
      <c r="I10" s="4" t="inlineStr">
        <is>
          <t>ISO/IEC 25010, adecuación funcional: el sistema hace lo que se espera de una tienda en línea.</t>
        </is>
      </c>
    </row>
    <row r="11" ht="58" customHeight="1">
      <c r="A11" s="4" t="inlineStr">
        <is>
          <t>CP-DET-02</t>
        </is>
      </c>
      <c r="B11" s="4" t="inlineStr">
        <is>
          <t>Detalle de producto</t>
        </is>
      </c>
      <c r="C11" s="4" t="inlineStr">
        <is>
          <t>Media</t>
        </is>
      </c>
      <c r="D11" s="4" t="inlineStr">
        <is>
          <t>Partición de equivalencias</t>
        </is>
      </c>
      <c r="E11" s="4" t="inlineStr">
        <is>
          <t>Navegador abierto.</t>
        </is>
      </c>
      <c r="F11" s="4" t="inlineStr">
        <is>
          <t>1. Ingresar directamente la URL de detalle con un identificador válido.</t>
        </is>
      </c>
      <c r="G11" s="4" t="inlineStr">
        <is>
          <t>idp_=3</t>
        </is>
      </c>
      <c r="H11" s="4" t="inlineStr">
        <is>
          <t>La ficha carga con los datos del producto asociado a ese identificador.</t>
        </is>
      </c>
      <c r="I11" s="4" t="inlineStr">
        <is>
          <t>ISO/IEC 25010, adecuación funcional: el sistema hace lo que se espera de una tienda en línea.</t>
        </is>
      </c>
    </row>
    <row r="12" ht="58" customHeight="1">
      <c r="A12" s="4" t="inlineStr">
        <is>
          <t>CP-DET-03</t>
        </is>
      </c>
      <c r="B12" s="4" t="inlineStr">
        <is>
          <t>Detalle de producto</t>
        </is>
      </c>
      <c r="C12" s="4" t="inlineStr">
        <is>
          <t>Media</t>
        </is>
      </c>
      <c r="D12" s="4" t="inlineStr">
        <is>
          <t>Partición de equivalencias</t>
        </is>
      </c>
      <c r="E12" s="4" t="inlineStr">
        <is>
          <t>Navegador abierto.</t>
        </is>
      </c>
      <c r="F12" s="4" t="inlineStr">
        <is>
          <t>1. Ingresar la URL de detalle con un identificador inexistente.</t>
        </is>
      </c>
      <c r="G12" s="4" t="inlineStr">
        <is>
          <t>idp_=99999</t>
        </is>
      </c>
      <c r="H12" s="4" t="inlineStr">
        <is>
          <t>El sistema informa que el producto no existe de forma comprensible. No se muestra una página en blanco ni un error técnico sin explicación.</t>
        </is>
      </c>
      <c r="I12" s="4" t="inlineStr">
        <is>
          <t>ISO/IEC 25010, fiabilidad: un identificador inexistente debe manejarse con un mensaje y no con una página en blanco.</t>
        </is>
      </c>
    </row>
    <row r="13" ht="58" customHeight="1">
      <c r="A13" s="4" t="inlineStr">
        <is>
          <t>CP-DET-04</t>
        </is>
      </c>
      <c r="B13" s="4" t="inlineStr">
        <is>
          <t>Detalle de producto</t>
        </is>
      </c>
      <c r="C13" s="4" t="inlineStr">
        <is>
          <t>Alta</t>
        </is>
      </c>
      <c r="D13" s="4" t="inlineStr">
        <is>
          <t>Transición de estados</t>
        </is>
      </c>
      <c r="E13" s="4" t="inlineStr">
        <is>
          <t>Ficha de producto abierta y carrito vacío.</t>
        </is>
      </c>
      <c r="F13" s="4" t="inlineStr">
        <is>
          <t>1. Pulsar Add to cart.
2. Confirmar el aviso.
3. Abrir el carrito.</t>
        </is>
      </c>
      <c r="G13" s="4" t="inlineStr">
        <is>
          <t>Producto: Nexus 6</t>
        </is>
      </c>
      <c r="H13" s="4" t="inlineStr">
        <is>
          <t>El producto queda registrado en el carrito una sola vez, con su precio correcto.</t>
        </is>
      </c>
      <c r="I13" s="4" t="inlineStr">
        <is>
          <t>ISO/IEC 25010, adecuación funcional: el sistema hace lo que se espera de una tienda en línea.</t>
        </is>
      </c>
    </row>
    <row r="14" ht="58" customHeight="1">
      <c r="A14" s="4" t="inlineStr">
        <is>
          <t>CP-CAR-01</t>
        </is>
      </c>
      <c r="B14" s="4" t="inlineStr">
        <is>
          <t>Carrito</t>
        </is>
      </c>
      <c r="C14" s="4" t="inlineStr">
        <is>
          <t>Media</t>
        </is>
      </c>
      <c r="D14" s="4" t="inlineStr">
        <is>
          <t>Transición de estados</t>
        </is>
      </c>
      <c r="E14" s="4" t="inlineStr">
        <is>
          <t>Sesión nueva sin productos agregados.</t>
        </is>
      </c>
      <c r="F14" s="4" t="inlineStr">
        <is>
          <t>1. Abrir Cart sin haber agregado nada.</t>
        </is>
      </c>
      <c r="G14" s="4" t="inlineStr">
        <is>
          <t>N/A</t>
        </is>
      </c>
      <c r="H14" s="4" t="inlineStr">
        <is>
          <t>El carrito aparece vacío y el total es cero o no se muestra. No hay productos residuales de sesiones anteriores.</t>
        </is>
      </c>
      <c r="I14" s="4" t="inlineStr">
        <is>
          <t>ISO/IEC 25010, adecuación funcional: el sistema hace lo que se espera de una tienda en línea.</t>
        </is>
      </c>
    </row>
    <row r="15" ht="58" customHeight="1">
      <c r="A15" s="4" t="inlineStr">
        <is>
          <t>CP-CAR-02</t>
        </is>
      </c>
      <c r="B15" s="4" t="inlineStr">
        <is>
          <t>Carrito</t>
        </is>
      </c>
      <c r="C15" s="4" t="inlineStr">
        <is>
          <t>Alta</t>
        </is>
      </c>
      <c r="D15" s="4" t="inlineStr">
        <is>
          <t>Transición de estados</t>
        </is>
      </c>
      <c r="E15" s="4" t="inlineStr">
        <is>
          <t>Carrito vacío.</t>
        </is>
      </c>
      <c r="F15" s="4" t="inlineStr">
        <is>
          <t>1. Agregar un producto.
2. Abrir el carrito.
3. Verificar nombre, precio y total.</t>
        </is>
      </c>
      <c r="G15" s="4" t="inlineStr">
        <is>
          <t>Producto: Samsung galaxy s6 ($360)</t>
        </is>
      </c>
      <c r="H15" s="4" t="inlineStr">
        <is>
          <t>El carrito muestra un producto y el total coincide con su precio.</t>
        </is>
      </c>
      <c r="I15" s="4" t="inlineStr">
        <is>
          <t>Coherencia interna: el total debe ser igual a la suma de lo listado.</t>
        </is>
      </c>
    </row>
    <row r="16" ht="58" customHeight="1">
      <c r="A16" s="4" t="inlineStr">
        <is>
          <t>CP-CAR-03</t>
        </is>
      </c>
      <c r="B16" s="4" t="inlineStr">
        <is>
          <t>Carrito</t>
        </is>
      </c>
      <c r="C16" s="4" t="inlineStr">
        <is>
          <t>Alta</t>
        </is>
      </c>
      <c r="D16" s="4" t="inlineStr">
        <is>
          <t>Partición de equivalencias</t>
        </is>
      </c>
      <c r="E16" s="4" t="inlineStr">
        <is>
          <t>Carrito vacío.</t>
        </is>
      </c>
      <c r="F16" s="4" t="inlineStr">
        <is>
          <t>1. Agregar tres productos de categorías distintas.
2. Abrir el carrito.
3. Sumar los precios y comparar con el total.</t>
        </is>
      </c>
      <c r="G16" s="4" t="inlineStr">
        <is>
          <t>Tres productos de Phones, Laptops y Monitors</t>
        </is>
      </c>
      <c r="H16" s="4" t="inlineStr">
        <is>
          <t>El total mostrado es igual a la suma aritmética de los precios individuales.</t>
        </is>
      </c>
      <c r="I16" s="4" t="inlineStr">
        <is>
          <t>Coherencia interna: el total debe ser igual a la suma de lo listado.</t>
        </is>
      </c>
    </row>
    <row r="17" ht="58" customHeight="1">
      <c r="A17" s="4" t="inlineStr">
        <is>
          <t>CP-CAR-04</t>
        </is>
      </c>
      <c r="B17" s="4" t="inlineStr">
        <is>
          <t>Carrito</t>
        </is>
      </c>
      <c r="C17" s="4" t="inlineStr">
        <is>
          <t>Media</t>
        </is>
      </c>
      <c r="D17" s="4" t="inlineStr">
        <is>
          <t>Transición de estados</t>
        </is>
      </c>
      <c r="E17" s="4" t="inlineStr">
        <is>
          <t>Carrito vacío.</t>
        </is>
      </c>
      <c r="F17" s="4" t="inlineStr">
        <is>
          <t>1. Agregar el mismo producto dos veces.
2. Abrir el carrito.
3. Comparar el total con la suma de lo listado.</t>
        </is>
      </c>
      <c r="G17" s="4" t="inlineStr">
        <is>
          <t>Producto: Nokia lumia 1520 ($820)</t>
        </is>
      </c>
      <c r="H17" s="4" t="inlineStr">
        <is>
          <t>Las dos adiciones se reflejan en el carrito y el total es $1640. En todo caso el total mostrado es igual a la suma de los precios de los items listados.</t>
        </is>
      </c>
      <c r="I17" s="4" t="inlineStr">
        <is>
          <t>Convención del dominio: el total debe reflejar todo lo que el carrito contiene. Si el sistema lo lista una sola vez sin duplicar el precio, se consulta antes de reportarlo como defecto.</t>
        </is>
      </c>
    </row>
    <row r="18" ht="58" customHeight="1">
      <c r="A18" s="4" t="inlineStr">
        <is>
          <t>CP-CAR-05</t>
        </is>
      </c>
      <c r="B18" s="4" t="inlineStr">
        <is>
          <t>Carrito</t>
        </is>
      </c>
      <c r="C18" s="4" t="inlineStr">
        <is>
          <t>Alta</t>
        </is>
      </c>
      <c r="D18" s="4" t="inlineStr">
        <is>
          <t>Transición de estados</t>
        </is>
      </c>
      <c r="E18" s="4" t="inlineStr">
        <is>
          <t>Carrito con dos productos.</t>
        </is>
      </c>
      <c r="F18" s="4" t="inlineStr">
        <is>
          <t>1. Abrir el carrito.
2. Pulsar Delete en uno de ellos.
3. Verificar el listado y el total.</t>
        </is>
      </c>
      <c r="G18" s="4" t="inlineStr">
        <is>
          <t>Dos productos de precios distintos</t>
        </is>
      </c>
      <c r="H18" s="4" t="inlineStr">
        <is>
          <t>El producto eliminado desaparece y el total se recalcula restando exactamente su precio.</t>
        </is>
      </c>
      <c r="I18" s="4" t="inlineStr">
        <is>
          <t>Coherencia interna: el total debe recalcularse al cambiar el contenido.</t>
        </is>
      </c>
    </row>
    <row r="19" ht="58" customHeight="1">
      <c r="A19" s="4" t="inlineStr">
        <is>
          <t>CP-CAR-06</t>
        </is>
      </c>
      <c r="B19" s="4" t="inlineStr">
        <is>
          <t>Carrito</t>
        </is>
      </c>
      <c r="C19" s="4" t="inlineStr">
        <is>
          <t>Media</t>
        </is>
      </c>
      <c r="D19" s="4" t="inlineStr">
        <is>
          <t>Transición de estados</t>
        </is>
      </c>
      <c r="E19" s="4" t="inlineStr">
        <is>
          <t>Carrito con al menos un producto.</t>
        </is>
      </c>
      <c r="F19" s="4" t="inlineStr">
        <is>
          <t>1. Eliminar todos los productos uno por uno.</t>
        </is>
      </c>
      <c r="G19" s="4" t="inlineStr">
        <is>
          <t>N/A</t>
        </is>
      </c>
      <c r="H19" s="4" t="inlineStr">
        <is>
          <t>El carrito regresa al estado vacío descrito en CP-CAR-01.</t>
        </is>
      </c>
      <c r="I19" s="4" t="inlineStr">
        <is>
          <t>ISO/IEC 25010, adecuación funcional: el sistema hace lo que se espera de una tienda en línea.</t>
        </is>
      </c>
    </row>
    <row r="20" ht="58" customHeight="1">
      <c r="A20" s="4" t="inlineStr">
        <is>
          <t>CP-CAR-07</t>
        </is>
      </c>
      <c r="B20" s="4" t="inlineStr">
        <is>
          <t>Carrito</t>
        </is>
      </c>
      <c r="C20" s="4" t="inlineStr">
        <is>
          <t>Media</t>
        </is>
      </c>
      <c r="D20" s="4" t="inlineStr">
        <is>
          <t>Transición de estados</t>
        </is>
      </c>
      <c r="E20" s="4" t="inlineStr">
        <is>
          <t>Carrito con un producto.</t>
        </is>
      </c>
      <c r="F20" s="4" t="inlineStr">
        <is>
          <t>1. Navegar a Home.
2. Abrir una ficha de producto.
3. Regresar al carrito.</t>
        </is>
      </c>
      <c r="G20" s="4" t="inlineStr">
        <is>
          <t>N/A</t>
        </is>
      </c>
      <c r="H20" s="4" t="inlineStr">
        <is>
          <t>El contenido del carrito se conserva íntegro tras la navegación.</t>
        </is>
      </c>
      <c r="I20" s="4" t="inlineStr">
        <is>
          <t>ISO/IEC 25010, adecuación funcional: el sistema hace lo que se espera de una tienda en línea.</t>
        </is>
      </c>
    </row>
    <row r="21" ht="58" customHeight="1">
      <c r="A21" s="4" t="inlineStr">
        <is>
          <t>CP-REG-01</t>
        </is>
      </c>
      <c r="B21" s="4" t="inlineStr">
        <is>
          <t>Registro</t>
        </is>
      </c>
      <c r="C21" s="4" t="inlineStr">
        <is>
          <t>Alta</t>
        </is>
      </c>
      <c r="D21" s="4" t="inlineStr">
        <is>
          <t>Partición de equivalencias</t>
        </is>
      </c>
      <c r="E21" s="4" t="inlineStr">
        <is>
          <t>Ventana Sign up abierta.</t>
        </is>
      </c>
      <c r="F21" s="4" t="inlineStr">
        <is>
          <t>1. Ingresar un usuario nuevo y una contraseña válida.
2. Pulsar Sign up.</t>
        </is>
      </c>
      <c r="G21" s="4" t="inlineStr">
        <is>
          <t>usuario: qa_demo_&lt;marca de tiempo&gt;
contraseña: Prueba123</t>
        </is>
      </c>
      <c r="H21" s="4" t="inlineStr">
        <is>
          <t>El sistema confirma el registro exitoso y la cuenta queda disponible para iniciar sesión.</t>
        </is>
      </c>
      <c r="I21" s="4" t="inlineStr">
        <is>
          <t>ISO/IEC 25010, adecuación funcional: el sistema hace lo que se espera de una tienda en línea.</t>
        </is>
      </c>
    </row>
    <row r="22" ht="58" customHeight="1">
      <c r="A22" s="4" t="inlineStr">
        <is>
          <t>CP-REG-02</t>
        </is>
      </c>
      <c r="B22" s="4" t="inlineStr">
        <is>
          <t>Registro</t>
        </is>
      </c>
      <c r="C22" s="4" t="inlineStr">
        <is>
          <t>Alta</t>
        </is>
      </c>
      <c r="D22" s="4" t="inlineStr">
        <is>
          <t>Partición de equivalencias</t>
        </is>
      </c>
      <c r="E22" s="4" t="inlineStr">
        <is>
          <t>Existe un usuario registrado previamente.</t>
        </is>
      </c>
      <c r="F22" s="4" t="inlineStr">
        <is>
          <t>1. Intentar registrar el mismo nombre de usuario.
2. Pulsar Sign up.</t>
        </is>
      </c>
      <c r="G22" s="4" t="inlineStr">
        <is>
          <t>El usuario creado en CP-REG-01</t>
        </is>
      </c>
      <c r="H22" s="4" t="inlineStr">
        <is>
          <t>El sistema rechaza el registro e informa que el usuario ya existe. No se crea una cuenta duplicada.</t>
        </is>
      </c>
      <c r="I22" s="4" t="inlineStr">
        <is>
          <t>ISO/IEC 25010, adecuación funcional: el sistema hace lo que se espera de una tienda en línea.</t>
        </is>
      </c>
    </row>
    <row r="23" ht="58" customHeight="1">
      <c r="A23" s="4" t="inlineStr">
        <is>
          <t>CP-REG-03</t>
        </is>
      </c>
      <c r="B23" s="4" t="inlineStr">
        <is>
          <t>Registro</t>
        </is>
      </c>
      <c r="C23" s="4" t="inlineStr">
        <is>
          <t>Media</t>
        </is>
      </c>
      <c r="D23" s="4" t="inlineStr">
        <is>
          <t>Partición de equivalencias</t>
        </is>
      </c>
      <c r="E23" s="4" t="inlineStr">
        <is>
          <t>Ventana Sign up abierta.</t>
        </is>
      </c>
      <c r="F23" s="4" t="inlineStr">
        <is>
          <t>1. Dejar ambos campos vacíos.
2. Pulsar Sign up.</t>
        </is>
      </c>
      <c r="G23" s="4" t="inlineStr">
        <is>
          <t>Usuario y contraseña vacíos</t>
        </is>
      </c>
      <c r="H23" s="4" t="inlineStr">
        <is>
          <t>El sistema impide el registro e indica que los campos son obligatorios.</t>
        </is>
      </c>
      <c r="I23" s="4" t="inlineStr">
        <is>
          <t>ISO/IEC 25010, adecuación funcional: el sistema hace lo que se espera de una tienda en línea.</t>
        </is>
      </c>
    </row>
    <row r="24" ht="58" customHeight="1">
      <c r="A24" s="4" t="inlineStr">
        <is>
          <t>CP-REG-04</t>
        </is>
      </c>
      <c r="B24" s="4" t="inlineStr">
        <is>
          <t>Registro</t>
        </is>
      </c>
      <c r="C24" s="4" t="inlineStr">
        <is>
          <t>Media</t>
        </is>
      </c>
      <c r="D24" s="4" t="inlineStr">
        <is>
          <t>Valores límite</t>
        </is>
      </c>
      <c r="E24" s="4" t="inlineStr">
        <is>
          <t>Ventana Sign up abierta.</t>
        </is>
      </c>
      <c r="F24" s="4" t="inlineStr">
        <is>
          <t>1. Registrar con usuario de un carácter.
2. Repetir con un usuario de 100 caracteres.
3. Repetir con contraseña de un carácter.</t>
        </is>
      </c>
      <c r="G24" s="4" t="inlineStr">
        <is>
          <t>u | cadena de 100 caracteres | contraseña: 1</t>
        </is>
      </c>
      <c r="H24" s="4" t="inlineStr">
        <is>
          <t>Ninguna de las tres entradas produce un error técnico, ninguna se trunca de forma silenciosa, y si el sistema rechaza alguna, el mensaje indica cual es el limite permitido.</t>
        </is>
      </c>
      <c r="I24" s="4" t="inlineStr">
        <is>
          <t>ISO/IEC 25010, fiabilidad: ninguna entrada en los límites debe producir un fallo no controlado.</t>
        </is>
      </c>
    </row>
    <row r="25" ht="58" customHeight="1">
      <c r="A25" s="4" t="inlineStr">
        <is>
          <t>CP-LOG-01</t>
        </is>
      </c>
      <c r="B25" s="4" t="inlineStr">
        <is>
          <t>Autenticación</t>
        </is>
      </c>
      <c r="C25" s="4" t="inlineStr">
        <is>
          <t>Alta</t>
        </is>
      </c>
      <c r="D25" s="4" t="inlineStr">
        <is>
          <t>Partición de equivalencias</t>
        </is>
      </c>
      <c r="E25" s="4" t="inlineStr">
        <is>
          <t>Usuario registrado en CP-REG-01.</t>
        </is>
      </c>
      <c r="F25" s="4" t="inlineStr">
        <is>
          <t>1. Abrir Log in.
2. Ingresar credenciales válidas.
3. Pulsar Log in.</t>
        </is>
      </c>
      <c r="G25" s="4" t="inlineStr">
        <is>
          <t>usuario y contraseña de CP-REG-01</t>
        </is>
      </c>
      <c r="H25" s="4" t="inlineStr">
        <is>
          <t>La sesión inicia y la barra superior muestra el saludo con el nombre del usuario.</t>
        </is>
      </c>
      <c r="I25" s="4" t="inlineStr">
        <is>
          <t>ISO/IEC 25010, adecuación funcional: el sistema hace lo que se espera de una tienda en línea.</t>
        </is>
      </c>
    </row>
    <row r="26" ht="58" customHeight="1">
      <c r="A26" s="4" t="inlineStr">
        <is>
          <t>CP-LOG-02</t>
        </is>
      </c>
      <c r="B26" s="4" t="inlineStr">
        <is>
          <t>Autenticación</t>
        </is>
      </c>
      <c r="C26" s="4" t="inlineStr">
        <is>
          <t>Alta</t>
        </is>
      </c>
      <c r="D26" s="4" t="inlineStr">
        <is>
          <t>Partición de equivalencias</t>
        </is>
      </c>
      <c r="E26" s="4" t="inlineStr">
        <is>
          <t>Usuario registrado.</t>
        </is>
      </c>
      <c r="F26" s="4" t="inlineStr">
        <is>
          <t>1. Ingresar usuario válido con contraseña incorrecta.
2. Pulsar Log in.</t>
        </is>
      </c>
      <c r="G26" s="4" t="inlineStr">
        <is>
          <t>contraseña: incorrecta123</t>
        </is>
      </c>
      <c r="H26" s="4" t="inlineStr">
        <is>
          <t>El acceso se rechaza con un mensaje comprensible. No se inicia sesión.</t>
        </is>
      </c>
      <c r="I26" s="4" t="inlineStr">
        <is>
          <t>ISO/IEC 25010, adecuación funcional: el sistema hace lo que se espera de una tienda en línea.</t>
        </is>
      </c>
    </row>
    <row r="27" ht="58" customHeight="1">
      <c r="A27" s="4" t="inlineStr">
        <is>
          <t>CP-LOG-03</t>
        </is>
      </c>
      <c r="B27" s="4" t="inlineStr">
        <is>
          <t>Autenticación</t>
        </is>
      </c>
      <c r="C27" s="4" t="inlineStr">
        <is>
          <t>Alta</t>
        </is>
      </c>
      <c r="D27" s="4" t="inlineStr">
        <is>
          <t>Partición de equivalencias</t>
        </is>
      </c>
      <c r="E27" s="4" t="inlineStr">
        <is>
          <t>Ventana Log in abierta.</t>
        </is>
      </c>
      <c r="F27" s="4" t="inlineStr">
        <is>
          <t>1. Ingresar un usuario que no existe.
2. Pulsar Log in.</t>
        </is>
      </c>
      <c r="G27" s="4" t="inlineStr">
        <is>
          <t>usuario: no_existe_xyz</t>
        </is>
      </c>
      <c r="H27" s="4" t="inlineStr">
        <is>
          <t>El acceso se rechaza. El mensaje no revela si el usuario existe o no.</t>
        </is>
      </c>
      <c r="I27" s="4" t="inlineStr">
        <is>
          <t>Convención de seguridad: el mensaje de error no debe permitir deducir si el usuario existe.</t>
        </is>
      </c>
    </row>
    <row r="28" ht="58" customHeight="1">
      <c r="A28" s="4" t="inlineStr">
        <is>
          <t>CP-LOG-04</t>
        </is>
      </c>
      <c r="B28" s="4" t="inlineStr">
        <is>
          <t>Autenticación</t>
        </is>
      </c>
      <c r="C28" s="4" t="inlineStr">
        <is>
          <t>Media</t>
        </is>
      </c>
      <c r="D28" s="4" t="inlineStr">
        <is>
          <t>Partición de equivalencias</t>
        </is>
      </c>
      <c r="E28" s="4" t="inlineStr">
        <is>
          <t>Ventana Log in abierta.</t>
        </is>
      </c>
      <c r="F28" s="4" t="inlineStr">
        <is>
          <t>1. Dejar ambos campos vacíos.
2. Pulsar Log in.</t>
        </is>
      </c>
      <c r="G28" s="4" t="inlineStr">
        <is>
          <t>Campos vacíos</t>
        </is>
      </c>
      <c r="H28" s="4" t="inlineStr">
        <is>
          <t>El sistema impide el intento e indica que los campos son obligatorios.</t>
        </is>
      </c>
      <c r="I28" s="4" t="inlineStr">
        <is>
          <t>ISO/IEC 25010, adecuación funcional: el sistema hace lo que se espera de una tienda en línea.</t>
        </is>
      </c>
    </row>
    <row r="29" ht="58" customHeight="1">
      <c r="A29" s="4" t="inlineStr">
        <is>
          <t>CP-LOG-05</t>
        </is>
      </c>
      <c r="B29" s="4" t="inlineStr">
        <is>
          <t>Autenticación</t>
        </is>
      </c>
      <c r="C29" s="4" t="inlineStr">
        <is>
          <t>Media</t>
        </is>
      </c>
      <c r="D29" s="4" t="inlineStr">
        <is>
          <t>Transición de estados</t>
        </is>
      </c>
      <c r="E29" s="4" t="inlineStr">
        <is>
          <t>Sesión iniciada.</t>
        </is>
      </c>
      <c r="F29" s="4" t="inlineStr">
        <is>
          <t>1. Pulsar Log out.
2. Verificar la barra superior.</t>
        </is>
      </c>
      <c r="G29" s="4" t="inlineStr">
        <is>
          <t>N/A</t>
        </is>
      </c>
      <c r="H29" s="4" t="inlineStr">
        <is>
          <t>La sesión termina, el saludo desaparece y vuelven a mostrarse las opciones Log in y Sign up.</t>
        </is>
      </c>
      <c r="I29" s="4" t="inlineStr">
        <is>
          <t>ISO/IEC 25010, adecuación funcional: el sistema hace lo que se espera de una tienda en línea.</t>
        </is>
      </c>
    </row>
    <row r="30" ht="58" customHeight="1">
      <c r="A30" s="4" t="inlineStr">
        <is>
          <t>CP-COM-01</t>
        </is>
      </c>
      <c r="B30" s="4" t="inlineStr">
        <is>
          <t>Orden de compra</t>
        </is>
      </c>
      <c r="C30" s="4" t="inlineStr">
        <is>
          <t>Alta</t>
        </is>
      </c>
      <c r="D30" s="4" t="inlineStr">
        <is>
          <t>Tabla de decisión</t>
        </is>
      </c>
      <c r="E30" s="4" t="inlineStr">
        <is>
          <t>Sesión iniciada y carrito con al menos un producto.</t>
        </is>
      </c>
      <c r="F30" s="4" t="inlineStr">
        <is>
          <t>1. Abrir el carrito y pulsar Place Order.
2. Completar los seis campos con datos válidos.
3. Pulsar Purchase.</t>
        </is>
      </c>
      <c r="G30" s="4" t="inlineStr">
        <is>
          <t>nombre: Joshua Mendez
país: Colombia
ciudad: Bogotá
tarjeta: 4111111111111111
mes: 12 | año: 2030</t>
        </is>
      </c>
      <c r="H30" s="4" t="inlineStr">
        <is>
          <t>La compra se confirma y se muestra un comprobante con identificador, monto, titular y fecha.</t>
        </is>
      </c>
      <c r="I30" s="4" t="inlineStr">
        <is>
          <t>ISO/IEC 25010, adecuación funcional: el sistema hace lo que se espera de una tienda en línea.</t>
        </is>
      </c>
    </row>
    <row r="31" ht="58" customHeight="1">
      <c r="A31" s="4" t="inlineStr">
        <is>
          <t>CP-COM-02</t>
        </is>
      </c>
      <c r="B31" s="4" t="inlineStr">
        <is>
          <t>Orden de compra</t>
        </is>
      </c>
      <c r="C31" s="4" t="inlineStr">
        <is>
          <t>Alta</t>
        </is>
      </c>
      <c r="D31" s="4" t="inlineStr">
        <is>
          <t>Tabla de decisión</t>
        </is>
      </c>
      <c r="E31" s="4" t="inlineStr">
        <is>
          <t>Carrito vacío.</t>
        </is>
      </c>
      <c r="F31" s="4" t="inlineStr">
        <is>
          <t>1. Abrir el carrito.
2. Pulsar Place Order.
3. Completar los campos y pulsar Purchase.</t>
        </is>
      </c>
      <c r="G31" s="4" t="inlineStr">
        <is>
          <t>Datos válidos, carrito vacío</t>
        </is>
      </c>
      <c r="H31" s="4" t="inlineStr">
        <is>
          <t>El sistema impide comprar con el carrito vacío. No se genera comprobante ni se registra una orden por valor cero.</t>
        </is>
      </c>
      <c r="I31" s="4" t="inlineStr">
        <is>
          <t>Convención del dominio: no se puede comprar con el carrito vacío.</t>
        </is>
      </c>
    </row>
    <row r="32" ht="58" customHeight="1">
      <c r="A32" s="4" t="inlineStr">
        <is>
          <t>CP-COM-03</t>
        </is>
      </c>
      <c r="B32" s="4" t="inlineStr">
        <is>
          <t>Orden de compra</t>
        </is>
      </c>
      <c r="C32" s="4" t="inlineStr">
        <is>
          <t>Alta</t>
        </is>
      </c>
      <c r="D32" s="4" t="inlineStr">
        <is>
          <t>Tabla de decisión</t>
        </is>
      </c>
      <c r="E32" s="4" t="inlineStr">
        <is>
          <t>Sin sesión iniciada y carrito con un producto.</t>
        </is>
      </c>
      <c r="F32" s="4" t="inlineStr">
        <is>
          <t>1. Abrir el carrito.
2. Pulsar Place Order.
3. Completar los campos y pulsar Purchase.</t>
        </is>
      </c>
      <c r="G32" s="4" t="inlineStr">
        <is>
          <t>Datos válidos, sin sesión</t>
        </is>
      </c>
      <c r="H32" s="4" t="inlineStr">
        <is>
          <t>El sistema exige iniciar sesión antes de completar la compra y no genera comprobante.</t>
        </is>
      </c>
      <c r="I32" s="4" t="inlineStr">
        <is>
          <t>Convención del dominio: una tienda que ofrece registro asocia las órdenes a una cuenta, de modo que se espera que exija sesión iniciada.</t>
        </is>
      </c>
    </row>
    <row r="33" ht="58" customHeight="1">
      <c r="A33" s="4" t="inlineStr">
        <is>
          <t>CP-COM-04</t>
        </is>
      </c>
      <c r="B33" s="4" t="inlineStr">
        <is>
          <t>Orden de compra</t>
        </is>
      </c>
      <c r="C33" s="4" t="inlineStr">
        <is>
          <t>Alta</t>
        </is>
      </c>
      <c r="D33" s="4" t="inlineStr">
        <is>
          <t>Tabla de decisión</t>
        </is>
      </c>
      <c r="E33" s="4" t="inlineStr">
        <is>
          <t>Carrito con al menos un producto y ventana de compra abierta.</t>
        </is>
      </c>
      <c r="F33" s="4" t="inlineStr">
        <is>
          <t>1. Dejar vacíos los campos Nombre y Tarjeta.
2. Completar País y Ciudad con valores válidos.
3. Pulsar Purchase.</t>
        </is>
      </c>
      <c r="G33" s="4" t="inlineStr">
        <is>
          <t>nombre y tarjeta vacíos
país: Colombia | ciudad: Bogotá</t>
        </is>
      </c>
      <c r="H33" s="4" t="inlineStr">
        <is>
          <t>El sistema impide la compra y señala los campos obligatorios sin completar. No se genera comprobante ni se vacía el carrito.</t>
        </is>
      </c>
      <c r="I33" s="4" t="inlineStr">
        <is>
          <t>ISO/IEC 25010, adecuación funcional: el sistema hace lo que se espera de una tienda en línea.</t>
        </is>
      </c>
    </row>
    <row r="34" ht="58" customHeight="1">
      <c r="A34" s="4" t="inlineStr">
        <is>
          <t>CP-COM-05</t>
        </is>
      </c>
      <c r="B34" s="4" t="inlineStr">
        <is>
          <t>Orden de compra</t>
        </is>
      </c>
      <c r="C34" s="4" t="inlineStr">
        <is>
          <t>Media</t>
        </is>
      </c>
      <c r="D34" s="4" t="inlineStr">
        <is>
          <t>Partición de equivalencias</t>
        </is>
      </c>
      <c r="E34" s="4" t="inlineStr">
        <is>
          <t>Ventana de compra abierta con carrito no vacío.</t>
        </is>
      </c>
      <c r="F34" s="4" t="inlineStr">
        <is>
          <t>1. Ingresar letras y símbolos en el campo de tarjeta.
2. Completar el resto con datos válidos.
3. Pulsar Purchase.</t>
        </is>
      </c>
      <c r="G34" s="4" t="inlineStr">
        <is>
          <t>tarjeta: abcd-efgh-!!!!</t>
        </is>
      </c>
      <c r="H34" s="4" t="inlineStr">
        <is>
          <t>El sistema rechaza el número de tarjeta inválido con un mensaje comprensible.</t>
        </is>
      </c>
      <c r="I34" s="4" t="inlineStr">
        <is>
          <t>ISO/IEC 25010, adecuación funcional: el sistema hace lo que se espera de una tienda en línea.</t>
        </is>
      </c>
    </row>
    <row r="35" ht="58" customHeight="1">
      <c r="A35" s="4" t="inlineStr">
        <is>
          <t>CP-COM-06</t>
        </is>
      </c>
      <c r="B35" s="4" t="inlineStr">
        <is>
          <t>Orden de compra</t>
        </is>
      </c>
      <c r="C35" s="4" t="inlineStr">
        <is>
          <t>Media</t>
        </is>
      </c>
      <c r="D35" s="4" t="inlineStr">
        <is>
          <t>Valores límite</t>
        </is>
      </c>
      <c r="E35" s="4" t="inlineStr">
        <is>
          <t>Ventana de compra abierta con carrito no vacío.</t>
        </is>
      </c>
      <c r="F35" s="4" t="inlineStr">
        <is>
          <t>1. Probar mes 0, mes 13 y año 1900.
2. Completar el resto con datos válidos.
3. Pulsar Purchase en cada intento.</t>
        </is>
      </c>
      <c r="G35" s="4" t="inlineStr">
        <is>
          <t>mes: 0 | mes: 13 | año: 1900</t>
        </is>
      </c>
      <c r="H35" s="4" t="inlineStr">
        <is>
          <t>Los valores fuera de rango se rechazan. Una tarjeta vencida no permite completar la compra.</t>
        </is>
      </c>
      <c r="I35" s="4" t="inlineStr">
        <is>
          <t>ISO/IEC 25010, adecuación funcional: el sistema hace lo que se espera de una tienda en línea.</t>
        </is>
      </c>
    </row>
    <row r="36" ht="58" customHeight="1">
      <c r="A36" s="4" t="inlineStr">
        <is>
          <t>CP-COM-07</t>
        </is>
      </c>
      <c r="B36" s="4" t="inlineStr">
        <is>
          <t>Orden de compra</t>
        </is>
      </c>
      <c r="C36" s="4" t="inlineStr">
        <is>
          <t>Alta</t>
        </is>
      </c>
      <c r="D36" s="4" t="inlineStr">
        <is>
          <t>Verificación de consistencia</t>
        </is>
      </c>
      <c r="E36" s="4" t="inlineStr">
        <is>
          <t>Compra completada en CP-COM-01.</t>
        </is>
      </c>
      <c r="F36" s="4" t="inlineStr">
        <is>
          <t>1. Leer el comprobante.
2. Contrastar el monto con el total del carrito y el titular con el nombre ingresado.</t>
        </is>
      </c>
      <c r="G36" s="4" t="inlineStr">
        <is>
          <t>Comprobante de CP-COM-01</t>
        </is>
      </c>
      <c r="H36" s="4" t="inlineStr">
        <is>
          <t>El monto del comprobante es igual al total del carrito, el titular coincide con el nombre ingresado y la fecha es la del día.</t>
        </is>
      </c>
      <c r="I36" s="4" t="inlineStr">
        <is>
          <t>Coherencia interna: el monto del comprobante debe igualar el total del carrito.</t>
        </is>
      </c>
    </row>
    <row r="37" ht="58" customHeight="1">
      <c r="A37" s="4" t="inlineStr">
        <is>
          <t>CP-COM-08</t>
        </is>
      </c>
      <c r="B37" s="4" t="inlineStr">
        <is>
          <t>Orden de compra</t>
        </is>
      </c>
      <c r="C37" s="4" t="inlineStr">
        <is>
          <t>Media</t>
        </is>
      </c>
      <c r="D37" s="4" t="inlineStr">
        <is>
          <t>Transición de estados</t>
        </is>
      </c>
      <c r="E37" s="4" t="inlineStr">
        <is>
          <t>Compra completada en CP-COM-01.</t>
        </is>
      </c>
      <c r="F37" s="4" t="inlineStr">
        <is>
          <t>1. Cerrar el comprobante.
2. Abrir el carrito.</t>
        </is>
      </c>
      <c r="G37" s="4" t="inlineStr">
        <is>
          <t>N/A</t>
        </is>
      </c>
      <c r="H37" s="4" t="inlineStr">
        <is>
          <t>El carrito queda vacío después de una compra exitosa.</t>
        </is>
      </c>
      <c r="I37" s="4" t="inlineStr">
        <is>
          <t>ISO/IEC 25010, adecuación funcional: el sistema hace lo que se espera de una tienda en línea.</t>
        </is>
      </c>
    </row>
    <row r="38" ht="58" customHeight="1">
      <c r="A38" s="4" t="inlineStr">
        <is>
          <t>CP-CON-01</t>
        </is>
      </c>
      <c r="B38" s="4" t="inlineStr">
        <is>
          <t>Contacto</t>
        </is>
      </c>
      <c r="C38" s="4" t="inlineStr">
        <is>
          <t>Media</t>
        </is>
      </c>
      <c r="D38" s="4" t="inlineStr">
        <is>
          <t>Partición de equivalencias</t>
        </is>
      </c>
      <c r="E38" s="4" t="inlineStr">
        <is>
          <t>Ventana Contact abierta.</t>
        </is>
      </c>
      <c r="F38" s="4" t="inlineStr">
        <is>
          <t>1. Completar correo, nombre y mensaje con datos válidos.
2. Pulsar Send message.</t>
        </is>
      </c>
      <c r="G38" s="4" t="inlineStr">
        <is>
          <t>correo: qa@ejemplo.com
nombre: Joshua
mensaje: Consulta de prueba</t>
        </is>
      </c>
      <c r="H38" s="4" t="inlineStr">
        <is>
          <t>El sistema confirma el envío del mensaje.</t>
        </is>
      </c>
      <c r="I38" s="4" t="inlineStr">
        <is>
          <t>ISO/IEC 25010, adecuación funcional: el sistema hace lo que se espera de una tienda en línea.</t>
        </is>
      </c>
    </row>
    <row r="39" ht="58" customHeight="1">
      <c r="A39" s="4" t="inlineStr">
        <is>
          <t>CP-CON-02</t>
        </is>
      </c>
      <c r="B39" s="4" t="inlineStr">
        <is>
          <t>Contacto</t>
        </is>
      </c>
      <c r="C39" s="4" t="inlineStr">
        <is>
          <t>Baja</t>
        </is>
      </c>
      <c r="D39" s="4" t="inlineStr">
        <is>
          <t>Partición de equivalencias</t>
        </is>
      </c>
      <c r="E39" s="4" t="inlineStr">
        <is>
          <t>Ventana Contact abierta.</t>
        </is>
      </c>
      <c r="F39" s="4" t="inlineStr">
        <is>
          <t>1. Dejar los tres campos vacíos.
2. Pulsar Send message.</t>
        </is>
      </c>
      <c r="G39" s="4" t="inlineStr">
        <is>
          <t>Campos vacíos</t>
        </is>
      </c>
      <c r="H39" s="4" t="inlineStr">
        <is>
          <t>El sistema impide el envío e indica que los campos son obligatorios.</t>
        </is>
      </c>
      <c r="I39" s="4" t="inlineStr">
        <is>
          <t>ISO/IEC 25010, adecuación funcional: el sistema hace lo que se espera de una tienda en línea.</t>
        </is>
      </c>
    </row>
    <row r="40" ht="58" customHeight="1">
      <c r="A40" s="4" t="inlineStr">
        <is>
          <t>CP-CON-03</t>
        </is>
      </c>
      <c r="B40" s="4" t="inlineStr">
        <is>
          <t>Contacto</t>
        </is>
      </c>
      <c r="C40" s="4" t="inlineStr">
        <is>
          <t>Media</t>
        </is>
      </c>
      <c r="D40" s="4" t="inlineStr">
        <is>
          <t>Partición de equivalencias</t>
        </is>
      </c>
      <c r="E40" s="4" t="inlineStr">
        <is>
          <t>Ventana Contact abierta.</t>
        </is>
      </c>
      <c r="F40" s="4" t="inlineStr">
        <is>
          <t>1. Ingresar un correo con formato inválido.
2. Completar nombre y mensaje.
3. Pulsar Send message.</t>
        </is>
      </c>
      <c r="G40" s="4" t="inlineStr">
        <is>
          <t>correo: correo-sin-arroba</t>
        </is>
      </c>
      <c r="H40" s="4" t="inlineStr">
        <is>
          <t>El sistema valida el formato del correo y rechaza el envío con un mensaje claro.</t>
        </is>
      </c>
      <c r="I40" s="4" t="inlineStr">
        <is>
          <t>ISO/IEC 25010, adecuación funcional: el sistema hace lo que se espera de una tienda en línea.</t>
        </is>
      </c>
    </row>
    <row r="41" ht="58" customHeight="1">
      <c r="A41" s="4" t="inlineStr">
        <is>
          <t>CP-ISP-01</t>
        </is>
      </c>
      <c r="B41" s="4" t="inlineStr">
        <is>
          <t>Integración sistema-producto</t>
        </is>
      </c>
      <c r="C41" s="4" t="inlineStr">
        <is>
          <t>Alta</t>
        </is>
      </c>
      <c r="D41" s="4" t="inlineStr">
        <is>
          <t>Inspección de tráfico</t>
        </is>
      </c>
      <c r="E41" s="4" t="inlineStr">
        <is>
          <t>Navegador con panel de red abierto.</t>
        </is>
      </c>
      <c r="F41" s="4" t="inlineStr">
        <is>
          <t>1. Cargar la portada.
2. Observar la llamada al servicio de catálogo.
3. Contrastar lo que devuelve con lo que pinta la portada.</t>
        </is>
      </c>
      <c r="G41" s="4" t="inlineStr">
        <is>
          <t>GET api.demoblaze.com/entries</t>
        </is>
      </c>
      <c r="H41" s="4" t="inlineStr">
        <is>
          <t>El servicio responde 200 y la portada muestra exactamente los productos que devuelve.</t>
        </is>
      </c>
      <c r="I41" s="4" t="inlineStr">
        <is>
          <t>Coherencia interna: la interfaz debe mostrar lo que su propio servicio devuelve.</t>
        </is>
      </c>
    </row>
    <row r="42" ht="58" customHeight="1">
      <c r="A42" s="4" t="inlineStr">
        <is>
          <t>CP-ISP-02</t>
        </is>
      </c>
      <c r="B42" s="4" t="inlineStr">
        <is>
          <t>Integración sistema-producto</t>
        </is>
      </c>
      <c r="C42" s="4" t="inlineStr">
        <is>
          <t>Alta</t>
        </is>
      </c>
      <c r="D42" s="4" t="inlineStr">
        <is>
          <t>Inspección de tráfico</t>
        </is>
      </c>
      <c r="E42" s="4" t="inlineStr">
        <is>
          <t>Igual que CP-ISP-01.</t>
        </is>
      </c>
      <c r="F42" s="4" t="inlineStr">
        <is>
          <t>1. Pulsar cada una de las tres categorías.
2. Contar los productos que devuelve el servicio por categoría.
3. Comparar el total contra lo que devuelve el catálogo general.</t>
        </is>
      </c>
      <c r="G42" s="4" t="inlineStr">
        <is>
          <t>POST api.demoblaze.com/bycat</t>
        </is>
      </c>
      <c r="H42" s="4" t="inlineStr">
        <is>
          <t>Los dos servicios son consistentes: la suma por categorías coincide con lo que el catálogo general deja ver al usuario.</t>
        </is>
      </c>
      <c r="I42" s="4" t="inlineStr">
        <is>
          <t>Coherencia interna: dos servicios del mismo sistema no deben contradecirse.</t>
        </is>
      </c>
    </row>
    <row r="43" ht="58" customHeight="1">
      <c r="A43" s="4" t="inlineStr">
        <is>
          <t>CP-ISP-03</t>
        </is>
      </c>
      <c r="B43" s="4" t="inlineStr">
        <is>
          <t>Integración sistema-producto</t>
        </is>
      </c>
      <c r="C43" s="4" t="inlineStr">
        <is>
          <t>Media</t>
        </is>
      </c>
      <c r="D43" s="4" t="inlineStr">
        <is>
          <t>Verificación de consistencia</t>
        </is>
      </c>
      <c r="E43" s="4" t="inlineStr">
        <is>
          <t>Igual que CP-ISP-01.</t>
        </is>
      </c>
      <c r="F43" s="4" t="inlineStr">
        <is>
          <t>1. Abrir la ficha de un producto.
2. Comparar título y precio del servicio de detalle contra los del catálogo.</t>
        </is>
      </c>
      <c r="G43" s="4" t="inlineStr">
        <is>
          <t>POST api.demoblaze.com/view, id=1</t>
        </is>
      </c>
      <c r="H43" s="4" t="inlineStr">
        <is>
          <t>El título y el precio coinciden entre los dos servicios.</t>
        </is>
      </c>
      <c r="I43" s="4" t="inlineStr">
        <is>
          <t>Coherencia interna: dos vistas del mismo dato deben coincidir.</t>
        </is>
      </c>
    </row>
    <row r="44" ht="58" customHeight="1">
      <c r="A44" s="4" t="inlineStr">
        <is>
          <t>CP-ISP-04</t>
        </is>
      </c>
      <c r="B44" s="4" t="inlineStr">
        <is>
          <t>Integración sistema-producto</t>
        </is>
      </c>
      <c r="C44" s="4" t="inlineStr">
        <is>
          <t>Alta</t>
        </is>
      </c>
      <c r="D44" s="4" t="inlineStr">
        <is>
          <t>Partición de equivalencias</t>
        </is>
      </c>
      <c r="E44" s="4" t="inlineStr">
        <is>
          <t>Igual que CP-ISP-01.</t>
        </is>
      </c>
      <c r="F44" s="4" t="inlineStr">
        <is>
          <t>1. Pedir el detalle de un identificador que no existe.
2. Revisar el código de respuesta y el cuerpo.
3. Abrir esa misma ficha en la interfaz.</t>
        </is>
      </c>
      <c r="G44" s="4" t="inlineStr">
        <is>
          <t>POST /view con id=99999</t>
        </is>
      </c>
      <c r="H44" s="4" t="inlineStr">
        <is>
          <t>El servicio responde 404 y la interfaz muestra un mensaje comprensible en vez de datos vacíos.</t>
        </is>
      </c>
      <c r="I44" s="4" t="inlineStr">
        <is>
          <t>Convención HTTP: un recurso inexistente se responde con 404, no con 200.</t>
        </is>
      </c>
    </row>
    <row r="45" ht="58" customHeight="1">
      <c r="A45" s="4" t="inlineStr">
        <is>
          <t>CP-PER-01</t>
        </is>
      </c>
      <c r="B45" s="4" t="inlineStr">
        <is>
          <t>Rendimiento</t>
        </is>
      </c>
      <c r="C45" s="4" t="inlineStr">
        <is>
          <t>Alta</t>
        </is>
      </c>
      <c r="D45" s="4" t="inlineStr">
        <is>
          <t>Medición con herramienta</t>
        </is>
      </c>
      <c r="E45" s="4" t="inlineStr">
        <is>
          <t>Página principal accesible desde internet.</t>
        </is>
      </c>
      <c r="F45" s="4" t="inlineStr">
        <is>
          <t>1. Analizar la URL de la portada en una herramienta de analisis de rendimiento, vista Escritorio.
2. Leer LCP, INP y CLS.
3. Contrastar contra los umbrales.</t>
        </is>
      </c>
      <c r="G45" s="4" t="inlineStr">
        <is>
          <t>https://www.demoblaze.com/</t>
        </is>
      </c>
      <c r="H45" s="4" t="inlineStr">
        <is>
          <t>LCP hasta 2,5 s, INP hasta 200 ms y CLS hasta 0,10, de modo que la evaluación global de métricas web esenciales resulte aprobada.</t>
        </is>
      </c>
      <c r="I45" s="4" t="inlineStr">
        <is>
          <t>Google, umbrales publicados de las métricas web esenciales.</t>
        </is>
      </c>
    </row>
    <row r="46" ht="58" customHeight="1">
      <c r="A46" s="4" t="inlineStr">
        <is>
          <t>CP-PER-02</t>
        </is>
      </c>
      <c r="B46" s="4" t="inlineStr">
        <is>
          <t>Rendimiento</t>
        </is>
      </c>
      <c r="C46" s="4" t="inlineStr">
        <is>
          <t>Media</t>
        </is>
      </c>
      <c r="D46" s="4" t="inlineStr">
        <is>
          <t>Medición con herramienta</t>
        </is>
      </c>
      <c r="E46" s="4" t="inlineStr">
        <is>
          <t>Igual que CP-PER-01.</t>
        </is>
      </c>
      <c r="F46" s="4" t="inlineStr">
        <is>
          <t>1. Repetir el análisis en la vista Celulares.
2. Contrastar contra los mismos umbrales.</t>
        </is>
      </c>
      <c r="G46" s="4" t="inlineStr">
        <is>
          <t>https://www.demoblaze.com/</t>
        </is>
      </c>
      <c r="H46" s="4" t="inlineStr">
        <is>
          <t>Los tres umbrales se cumplen también en móvil, que es la vista con la que la mayoría de usuarios llega a una tienda.</t>
        </is>
      </c>
      <c r="I46" s="4" t="inlineStr">
        <is>
          <t>Google, umbrales publicados de las métricas web esenciales.</t>
        </is>
      </c>
    </row>
    <row r="47" ht="58" customHeight="1">
      <c r="A47" s="4" t="inlineStr">
        <is>
          <t>CP-PER-03</t>
        </is>
      </c>
      <c r="B47" s="4" t="inlineStr">
        <is>
          <t>Rendimiento</t>
        </is>
      </c>
      <c r="C47" s="4" t="inlineStr">
        <is>
          <t>Baja</t>
        </is>
      </c>
      <c r="D47" s="4" t="inlineStr">
        <is>
          <t>Prueba de carga</t>
        </is>
      </c>
      <c r="E47" s="4" t="inlineStr">
        <is>
          <t>Entorno propio o autorización escrita del propietario del sitio. No ejecutable en esta iteración.</t>
        </is>
      </c>
      <c r="F47" s="4" t="inlineStr">
        <is>
          <t>1. Ejecutar el guion del flujo de compra con rampa hasta 50 usuarios concurrentes en 5 minutos.
2. Sostener la carga 15 minutos.
3. Medir percentiles y tasa de error.</t>
        </is>
      </c>
      <c r="G47" s="4" t="inlineStr">
        <is>
          <t>50 usuarios concurrentes, 20 minutos</t>
        </is>
      </c>
      <c r="H47" s="4" t="inlineStr">
        <is>
          <t>Percentil 95 del tiempo de respuesta por debajo de 3 segundos y tasa de error por debajo del 1 %.</t>
        </is>
      </c>
      <c r="I47" s="4" t="inlineStr">
        <is>
          <t>Umbral acordado en el apartado 3.9 del plan.</t>
        </is>
      </c>
    </row>
    <row r="48" ht="58" customHeight="1">
      <c r="A48" s="4" t="inlineStr">
        <is>
          <t>CP-PER-04</t>
        </is>
      </c>
      <c r="B48" s="4" t="inlineStr">
        <is>
          <t>Rendimiento</t>
        </is>
      </c>
      <c r="C48" s="4" t="inlineStr">
        <is>
          <t>Baja</t>
        </is>
      </c>
      <c r="D48" s="4" t="inlineStr">
        <is>
          <t>Prueba de estrés</t>
        </is>
      </c>
      <c r="E48" s="4" t="inlineStr">
        <is>
          <t>Entorno propio o autorización escrita del propietario del sitio. No ejecutable en esta iteración.</t>
        </is>
      </c>
      <c r="F48" s="4" t="inlineStr">
        <is>
          <t>1. Incrementar 25 usuarios cada 3 minutos.
2. Detener cuando la tasa de error supere el 5 % o el percentil 95 supere 10 segundos.
3. Retirar la carga y medir la recuperación.</t>
        </is>
      </c>
      <c r="G48" s="4" t="inlineStr">
        <is>
          <t>Escalones de 25 usuarios</t>
        </is>
      </c>
      <c r="H48" s="4" t="inlineStr">
        <is>
          <t>El punto de saturación queda documentado, el sistema degrada de forma controlada en lugar de caer, y se recupera al retirar la carga sin intervención manual.</t>
        </is>
      </c>
      <c r="I48" s="4" t="inlineStr">
        <is>
          <t>Umbral acordado en el apartado 3.9 del plan.</t>
        </is>
      </c>
    </row>
    <row r="49" ht="58" customHeight="1">
      <c r="A49" s="4" t="inlineStr">
        <is>
          <t>CP-INT-01</t>
        </is>
      </c>
      <c r="B49" s="4" t="inlineStr">
        <is>
          <t>Interfaz y accesibilidad</t>
        </is>
      </c>
      <c r="C49" s="4" t="inlineStr">
        <is>
          <t>Alta</t>
        </is>
      </c>
      <c r="D49" s="4" t="inlineStr">
        <is>
          <t>Inspección</t>
        </is>
      </c>
      <c r="E49" s="4" t="inlineStr">
        <is>
          <t>Ventana Place order abierta.</t>
        </is>
      </c>
      <c r="F49" s="4" t="inlineStr">
        <is>
          <t>1. Inspeccionar la asociación entre cada etiqueta y su campo.
2. Recorrer el formulario con un lector de pantalla o con el árbol de accesibilidad.</t>
        </is>
      </c>
      <c r="G49" s="4" t="inlineStr">
        <is>
          <t>Formulario Place order</t>
        </is>
      </c>
      <c r="H49" s="4" t="inlineStr">
        <is>
          <t>Cada campo se anuncia con la etiqueta que le corresponde. Ver DEF-01: en la exploración preliminar el campo posterior a Name se anunciaba como Total.</t>
        </is>
      </c>
      <c r="I49" s="4" t="inlineStr">
        <is>
          <t>WCAG 2.1, criterios 1.3.1 y 4.1.2 de nivel A: la etiqueta debe estar asociada al campo que rotula.</t>
        </is>
      </c>
    </row>
    <row r="50" ht="58" customHeight="1">
      <c r="A50" s="4" t="inlineStr">
        <is>
          <t>CP-INT-02</t>
        </is>
      </c>
      <c r="B50" s="4" t="inlineStr">
        <is>
          <t>Interfaz y accesibilidad</t>
        </is>
      </c>
      <c r="C50" s="4" t="inlineStr">
        <is>
          <t>Media</t>
        </is>
      </c>
      <c r="D50" s="4" t="inlineStr">
        <is>
          <t>Inspección</t>
        </is>
      </c>
      <c r="E50" s="4" t="inlineStr">
        <is>
          <t>Ventana Contact abierta.</t>
        </is>
      </c>
      <c r="F50" s="4" t="inlineStr">
        <is>
          <t>1. Inspeccionar la asociación entre cada etiqueta y su campo.</t>
        </is>
      </c>
      <c r="G50" s="4" t="inlineStr">
        <is>
          <t>Formulario Contact</t>
        </is>
      </c>
      <c r="H50" s="4" t="inlineStr">
        <is>
          <t>Cada campo se anuncia con su etiqueta correcta. En la exploración preliminar el campo posterior a Contact Name se anunciaba como Contact Email.</t>
        </is>
      </c>
      <c r="I50" s="4" t="inlineStr">
        <is>
          <t>WCAG 2.1, criterios 1.3.1 y 4.1.2 de nivel A.</t>
        </is>
      </c>
    </row>
    <row r="51" ht="58" customHeight="1">
      <c r="A51" s="4" t="inlineStr">
        <is>
          <t>CP-INT-03</t>
        </is>
      </c>
      <c r="B51" s="4" t="inlineStr">
        <is>
          <t>Interfaz y accesibilidad</t>
        </is>
      </c>
      <c r="C51" s="4" t="inlineStr">
        <is>
          <t>Media</t>
        </is>
      </c>
      <c r="D51" s="4" t="inlineStr">
        <is>
          <t>Exploratoria</t>
        </is>
      </c>
      <c r="E51" s="4" t="inlineStr">
        <is>
          <t>Página principal cargada.</t>
        </is>
      </c>
      <c r="F51" s="4" t="inlineStr">
        <is>
          <t>1. Recorrer con la tecla Tab el flujo completo de compra sin usar el ratón.</t>
        </is>
      </c>
      <c r="G51" s="4" t="inlineStr">
        <is>
          <t>N/A</t>
        </is>
      </c>
      <c r="H51" s="4" t="inlineStr">
        <is>
          <t>Todos los controles del flujo son alcanzables por teclado, el foco es visible y el orden de tabulación sigue el orden visual.</t>
        </is>
      </c>
      <c r="I51" s="4" t="inlineStr">
        <is>
          <t>WCAG 2.1, criterio 2.1.1 de nivel A: toda función debe ser operable por teclado.</t>
        </is>
      </c>
    </row>
    <row r="52" ht="58" customHeight="1">
      <c r="A52" s="4" t="inlineStr">
        <is>
          <t>CP-INT-04</t>
        </is>
      </c>
      <c r="B52" s="4" t="inlineStr">
        <is>
          <t>Interfaz y accesibilidad</t>
        </is>
      </c>
      <c r="C52" s="4" t="inlineStr">
        <is>
          <t>Baja</t>
        </is>
      </c>
      <c r="D52" s="4" t="inlineStr">
        <is>
          <t>Exploratoria</t>
        </is>
      </c>
      <c r="E52" s="4" t="inlineStr">
        <is>
          <t>Navegador abierto.</t>
        </is>
      </c>
      <c r="F52" s="4" t="inlineStr">
        <is>
          <t>1. Reducir la ventana a 1366 por 768.
2. Recorrer catálogo, carrito y compra.</t>
        </is>
      </c>
      <c r="G52" s="4" t="inlineStr">
        <is>
          <t>Resolución 1366x768</t>
        </is>
      </c>
      <c r="H52" s="4" t="inlineStr">
        <is>
          <t>El contenido se adapta sin recortes, superposiciones ni desplazamiento horizontal que impida operar.</t>
        </is>
      </c>
      <c r="I52" s="4" t="inlineStr">
        <is>
          <t>ISO/IEC 25010, compatibilidad: el producto debe funcionar en los entornos declarados.</t>
        </is>
      </c>
    </row>
    <row r="53" ht="58" customHeight="1">
      <c r="A53" s="4" t="inlineStr">
        <is>
          <t>CP-SEG-01</t>
        </is>
      </c>
      <c r="B53" s="4" t="inlineStr">
        <is>
          <t>Seguridad</t>
        </is>
      </c>
      <c r="C53" s="4" t="inlineStr">
        <is>
          <t>Alta</t>
        </is>
      </c>
      <c r="D53" s="4" t="inlineStr">
        <is>
          <t>Inspección de cabeceras</t>
        </is>
      </c>
      <c r="E53" s="4" t="inlineStr">
        <is>
          <t>Acceso a la URL base.</t>
        </is>
      </c>
      <c r="F53" s="4" t="inlineStr">
        <is>
          <t>1. Pedir la portada.
2. Revisar las cabeceras de respuesta buscando controles de seguridad.</t>
        </is>
      </c>
      <c r="G53" s="4" t="inlineStr">
        <is>
          <t>GET https://www.demoblaze.com/</t>
        </is>
      </c>
      <c r="H53" s="4" t="inlineStr">
        <is>
          <t>La respuesta trae Content-Security-Policy, Strict-Transport-Security, X-Frame-Options y X-Content-Type-Options.</t>
        </is>
      </c>
      <c r="I53" s="4" t="inlineStr">
        <is>
          <t>Buenas prácticas de cabeceras de seguridad (OWASP Secure Headers).</t>
        </is>
      </c>
    </row>
    <row r="54" ht="58" customHeight="1">
      <c r="A54" s="4" t="inlineStr">
        <is>
          <t>CP-SEG-02</t>
        </is>
      </c>
      <c r="B54" s="4" t="inlineStr">
        <is>
          <t>Seguridad</t>
        </is>
      </c>
      <c r="C54" s="4" t="inlineStr">
        <is>
          <t>Media</t>
        </is>
      </c>
      <c r="D54" s="4" t="inlineStr">
        <is>
          <t>Inspección de tráfico</t>
        </is>
      </c>
      <c r="E54" s="4" t="inlineStr">
        <is>
          <t>Panel de red abierto.</t>
        </is>
      </c>
      <c r="F54" s="4" t="inlineStr">
        <is>
          <t>1. Enviar un login de prueba.
2. Revisar cómo viaja la contraseña en el cuerpo de la petición.</t>
        </is>
      </c>
      <c r="G54" s="4" t="inlineStr">
        <is>
          <t>POST /login</t>
        </is>
      </c>
      <c r="H54" s="4" t="inlineStr">
        <is>
          <t>La contraseña no viaja en un formato trivialmente reversible.</t>
        </is>
      </c>
      <c r="I54" s="4" t="inlineStr">
        <is>
          <t>Buenas prácticas de manejo de credenciales.</t>
        </is>
      </c>
    </row>
    <row r="55" ht="58" customHeight="1">
      <c r="A55" s="4" t="inlineStr">
        <is>
          <t>CP-SEG-03</t>
        </is>
      </c>
      <c r="B55" s="4" t="inlineStr">
        <is>
          <t>Seguridad</t>
        </is>
      </c>
      <c r="C55" s="4" t="inlineStr">
        <is>
          <t>Media</t>
        </is>
      </c>
      <c r="D55" s="4" t="inlineStr">
        <is>
          <t>Partición de equivalencias</t>
        </is>
      </c>
      <c r="E55" s="4" t="inlineStr">
        <is>
          <t>Ninguna.</t>
        </is>
      </c>
      <c r="F55" s="4" t="inlineStr">
        <is>
          <t>1. Pedir login con un usuario que no existe.
2. Revisar el mensaje de error.</t>
        </is>
      </c>
      <c r="G55" s="4" t="inlineStr">
        <is>
          <t>POST /login usuario inexistente</t>
        </is>
      </c>
      <c r="H55" s="4" t="inlineStr">
        <is>
          <t>El mensaje de error no revela si el usuario existe o no.</t>
        </is>
      </c>
      <c r="I55" s="4" t="inlineStr">
        <is>
          <t>Convención de seguridad: no filtrar existencia de cuentas.</t>
        </is>
      </c>
    </row>
    <row r="56" ht="58" customHeight="1">
      <c r="A56" s="4" t="inlineStr">
        <is>
          <t>CP-SEG-04</t>
        </is>
      </c>
      <c r="B56" s="4" t="inlineStr">
        <is>
          <t>Seguridad</t>
        </is>
      </c>
      <c r="C56" s="4" t="inlineStr">
        <is>
          <t>Alta</t>
        </is>
      </c>
      <c r="D56" s="4" t="inlineStr">
        <is>
          <t>Inyección</t>
        </is>
      </c>
      <c r="E56" s="4" t="inlineStr">
        <is>
          <t>Ninguna.</t>
        </is>
      </c>
      <c r="F56" s="4" t="inlineStr">
        <is>
          <t>1. Enviar en el usuario del login cadenas de inyección típicas.
2. Revisar si se puede saltar la autenticación.</t>
        </is>
      </c>
      <c r="G56" s="4" t="inlineStr">
        <is>
          <t>POST /login con cadenas de inyección</t>
        </is>
      </c>
      <c r="H56" s="4" t="inlineStr">
        <is>
          <t>El servicio trata la entrada como dato y no permite saltar la autenticación.</t>
        </is>
      </c>
      <c r="I56" s="4" t="inlineStr">
        <is>
          <t>Convención de seguridad: entradas tratadas como datos.</t>
        </is>
      </c>
    </row>
    <row r="57" ht="58" customHeight="1">
      <c r="A57" s="4" t="inlineStr">
        <is>
          <t>CP-SEG-05</t>
        </is>
      </c>
      <c r="B57" s="4" t="inlineStr">
        <is>
          <t>Seguridad</t>
        </is>
      </c>
      <c r="C57" s="4" t="inlineStr">
        <is>
          <t>Media</t>
        </is>
      </c>
      <c r="D57" s="4" t="inlineStr">
        <is>
          <t>Enumeración</t>
        </is>
      </c>
      <c r="E57" s="4" t="inlineStr">
        <is>
          <t>Ninguna.</t>
        </is>
      </c>
      <c r="F57" s="4" t="inlineStr">
        <is>
          <t>1. Probar una lista de nombres de usuario comunes.
2. Contar cuántos existen según el mensaje.</t>
        </is>
      </c>
      <c r="G57" s="4" t="inlineStr">
        <is>
          <t>POST /login lista de nombres</t>
        </is>
      </c>
      <c r="H57" s="4" t="inlineStr">
        <is>
          <t>Medir el alcance del problema de CP-SEG-03.</t>
        </is>
      </c>
      <c r="I57" s="4" t="inlineStr">
        <is>
          <t>Convención de seguridad.</t>
        </is>
      </c>
    </row>
    <row r="58" ht="58" customHeight="1">
      <c r="A58" s="4" t="inlineStr">
        <is>
          <t>CP-SEG-06</t>
        </is>
      </c>
      <c r="B58" s="4" t="inlineStr">
        <is>
          <t>Seguridad</t>
        </is>
      </c>
      <c r="C58" s="4" t="inlineStr">
        <is>
          <t>Media</t>
        </is>
      </c>
      <c r="D58" s="4" t="inlineStr">
        <is>
          <t>Inspección CORS</t>
        </is>
      </c>
      <c r="E58" s="4" t="inlineStr">
        <is>
          <t>Ninguna.</t>
        </is>
      </c>
      <c r="F58" s="4" t="inlineStr">
        <is>
          <t>1. Enviar una petición preflight desde un origen ajeno.
2. Revisar las cabeceras Access-Control.</t>
        </is>
      </c>
      <c r="G58" s="4" t="inlineStr">
        <is>
          <t>OPTIONS /login desde origen ajeno</t>
        </is>
      </c>
      <c r="H58" s="4" t="inlineStr">
        <is>
          <t>La API no autoriza cualquier origen de forma indiscriminada.</t>
        </is>
      </c>
      <c r="I58" s="4" t="inlineStr">
        <is>
          <t>Buenas prácticas CORS.</t>
        </is>
      </c>
    </row>
    <row r="59" ht="52" customHeight="1">
      <c r="A59" s="4" t="inlineStr">
        <is>
          <t>CP-COMP-01</t>
        </is>
      </c>
      <c r="B59" s="4" t="inlineStr">
        <is>
          <t>Compatibilidad</t>
        </is>
      </c>
      <c r="C59" s="4" t="inlineStr">
        <is>
          <t>Media</t>
        </is>
      </c>
      <c r="D59" s="4" t="inlineStr">
        <is>
          <t>Comparacion entre navegadores</t>
        </is>
      </c>
      <c r="E59" s="4" t="inlineStr">
        <is>
          <t>Acceso a la tienda desde un navegador en la nube.</t>
        </is>
      </c>
      <c r="F59" s="4" t="inlineStr">
        <is>
          <t>1. Abrir la tienda en Chrome 138 (Chromium) sobre Windows 10.
2. Revisar que la portada cargue y se vea bien.</t>
        </is>
      </c>
      <c r="G59" s="4" t="inlineStr">
        <is>
          <t>https://www.demoblaze.com</t>
        </is>
      </c>
      <c r="H59" s="4" t="inlineStr">
        <is>
          <t>La portada carga completa: barra de navegacion, carrusel, categorias y grilla de productos.</t>
        </is>
      </c>
      <c r="I59" s="4" t="inlineStr">
        <is>
          <t>Coherencia visual entre navegadores.</t>
        </is>
      </c>
    </row>
    <row r="60" ht="52" customHeight="1">
      <c r="A60" s="4" t="inlineStr">
        <is>
          <t>CP-COMP-02</t>
        </is>
      </c>
      <c r="B60" s="4" t="inlineStr">
        <is>
          <t>Compatibilidad</t>
        </is>
      </c>
      <c r="C60" s="4" t="inlineStr">
        <is>
          <t>Media</t>
        </is>
      </c>
      <c r="D60" s="4" t="inlineStr">
        <is>
          <t>Comparacion entre navegadores</t>
        </is>
      </c>
      <c r="E60" s="4" t="inlineStr">
        <is>
          <t>Igual que CP-COMP-01.</t>
        </is>
      </c>
      <c r="F60" s="4" t="inlineStr">
        <is>
          <t>1. Abrir la tienda en Tor Browser 14.5 (Gecko) sobre Windows 10.
2. Comparar el render contra el de Chrome.</t>
        </is>
      </c>
      <c r="G60" s="4" t="inlineStr">
        <is>
          <t>https://www.demoblaze.com</t>
        </is>
      </c>
      <c r="H60" s="4" t="inlineStr">
        <is>
          <t>La tienda se ve igual que en Chrome, sin diferencias de maquetacion.</t>
        </is>
      </c>
      <c r="I60" s="4" t="inlineStr">
        <is>
          <t>Coherencia visual entre navegadores.</t>
        </is>
      </c>
    </row>
    <row r="61" ht="52" customHeight="1">
      <c r="A61" s="4" t="inlineStr">
        <is>
          <t>CP-COMP-03</t>
        </is>
      </c>
      <c r="B61" s="4" t="inlineStr">
        <is>
          <t>Compatibilidad</t>
        </is>
      </c>
      <c r="C61" s="4" t="inlineStr">
        <is>
          <t>Baja</t>
        </is>
      </c>
      <c r="D61" s="4" t="inlineStr">
        <is>
          <t>Comparacion entre navegadores</t>
        </is>
      </c>
      <c r="E61" s="4" t="inlineStr">
        <is>
          <t>Sesion de Safari sobre macOS disponible.</t>
        </is>
      </c>
      <c r="F61" s="4" t="inlineStr">
        <is>
          <t>1. Abrir la tienda en Safari sobre macOS.
2. Comparar el render contra Chrome y Tor.</t>
        </is>
      </c>
      <c r="G61" s="4" t="inlineStr">
        <is>
          <t>https://www.demoblaze.com</t>
        </is>
      </c>
      <c r="H61" s="4" t="inlineStr">
        <is>
          <t>La tienda se ve y funciona igual que en los otros motores.</t>
        </is>
      </c>
      <c r="I61" s="4" t="inlineStr">
        <is>
          <t>Coherencia visual entre navegadores.</t>
        </is>
      </c>
    </row>
    <row r="62" ht="46" customHeight="1">
      <c r="A62" s="4" t="inlineStr">
        <is>
          <t>CP-COMP-04</t>
        </is>
      </c>
      <c r="B62" s="4" t="inlineStr">
        <is>
          <t>Compatibilidad</t>
        </is>
      </c>
      <c r="C62" s="4" t="inlineStr">
        <is>
          <t>Baja</t>
        </is>
      </c>
      <c r="D62" s="4" t="inlineStr">
        <is>
          <t>Comparacion entre navegadores</t>
        </is>
      </c>
      <c r="E62" s="4" t="inlineStr">
        <is>
          <t>Un iPhone real con Safari.</t>
        </is>
      </c>
      <c r="F62" s="4" t="inlineStr">
        <is>
          <t>1. Abrir la tienda en Safari sobre iOS.
2. Revisar que el contenido cargue completo.</t>
        </is>
      </c>
      <c r="G62" s="4" t="inlineStr">
        <is>
          <t>https://www.demoblaze.com</t>
        </is>
      </c>
      <c r="H62" s="4" t="inlineStr">
        <is>
          <t>La tienda se ve y funciona en el motor WebKit movil.</t>
        </is>
      </c>
      <c r="I62" s="4" t="inlineStr">
        <is>
          <t>Coherencia visual entre navegadores.</t>
        </is>
      </c>
    </row>
    <row r="63" ht="46" customHeight="1">
      <c r="A63" s="4" t="inlineStr">
        <is>
          <t>CP-COMP-05</t>
        </is>
      </c>
      <c r="B63" s="4" t="inlineStr">
        <is>
          <t>Compatibilidad</t>
        </is>
      </c>
      <c r="C63" s="4" t="inlineStr">
        <is>
          <t>Media</t>
        </is>
      </c>
      <c r="D63" s="4" t="inlineStr">
        <is>
          <t>Prueba de tamanos de pantalla</t>
        </is>
      </c>
      <c r="E63" s="4" t="inlineStr">
        <is>
          <t>Herramienta de tamanos de pantalla abierta con la tienda.</t>
        </is>
      </c>
      <c r="F63" s="4" t="inlineStr">
        <is>
          <t>1. Cargar la tienda a 1024x768 (iPad).
2. Revisar que el layout se adapte sin desbordes.</t>
        </is>
      </c>
      <c r="G63" s="4" t="inlineStr">
        <is>
          <t>viewport 414x896</t>
        </is>
      </c>
      <c r="H63" s="4" t="inlineStr">
        <is>
          <t>El layout se mantiene y no hay desbordes ni solapes.</t>
        </is>
      </c>
      <c r="I63" s="4" t="inlineStr">
        <is>
          <t>ISO/IEC 25010, compatibilidad.</t>
        </is>
      </c>
    </row>
    <row r="64" ht="52" customHeight="1">
      <c r="A64" s="4" t="inlineStr">
        <is>
          <t>CP-COMP-06</t>
        </is>
      </c>
      <c r="B64" s="4" t="inlineStr">
        <is>
          <t>Compatibilidad</t>
        </is>
      </c>
      <c r="C64" s="4" t="inlineStr">
        <is>
          <t>Media</t>
        </is>
      </c>
      <c r="D64" s="4" t="inlineStr">
        <is>
          <t>Prueba de tamanos de pantalla</t>
        </is>
      </c>
      <c r="E64" s="4" t="inlineStr">
        <is>
          <t>Herramienta de tamanos de pantalla abierta con la tienda.</t>
        </is>
      </c>
      <c r="F64" s="4" t="inlineStr">
        <is>
          <t>1. Cargar la tienda a 375x667 (iPhone).
2. Revisar menu, carrusel y apilado de contenido.</t>
        </is>
      </c>
      <c r="G64" s="4" t="inlineStr">
        <is>
          <t>375x667</t>
        </is>
      </c>
      <c r="H64" s="4" t="inlineStr">
        <is>
          <t>El menu se recoge en un boton, el carrusel se ve y el contenido se apila en una columna.</t>
        </is>
      </c>
      <c r="I64" s="4" t="inlineStr">
        <is>
          <t>ISO/IEC 25010, compatibilidad.</t>
        </is>
      </c>
    </row>
  </sheetData>
  <autoFilter ref="A4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28" customWidth="1" min="5" max="5"/>
    <col width="44" customWidth="1" min="6" max="6"/>
  </cols>
  <sheetData>
    <row r="1">
      <c r="A1" s="1" t="inlineStr">
        <is>
          <t>Registro de ejecución</t>
        </is>
      </c>
    </row>
    <row r="2">
      <c r="A2" s="2" t="inlineStr">
        <is>
          <t>Entregable 3 del plan. Diligencia una fila por caso ejecutado. La fila 5 es un ejemplo del formato: déjala como referencia y registra desde la fila 6. Resultado admite Aprobado, Fallido, Bloqueado o No concluyente.</t>
        </is>
      </c>
    </row>
    <row r="3"/>
    <row r="4">
      <c r="A4" s="3" t="inlineStr">
        <is>
          <t>ID caso</t>
        </is>
      </c>
      <c r="B4" s="3" t="inlineStr">
        <is>
          <t>Fecha y hora</t>
        </is>
      </c>
      <c r="C4" s="3" t="inlineStr">
        <is>
          <t>Versión del navegador</t>
        </is>
      </c>
      <c r="D4" s="3" t="inlineStr">
        <is>
          <t>Resultado</t>
        </is>
      </c>
      <c r="E4" s="3" t="inlineStr">
        <is>
          <t>Evidencia</t>
        </is>
      </c>
      <c r="F4" s="3" t="inlineStr">
        <is>
          <t>Observaciones</t>
        </is>
      </c>
    </row>
    <row r="5">
      <c r="A5" s="5" t="inlineStr">
        <is>
          <t>CP-CAR-02</t>
        </is>
      </c>
      <c r="B5" s="5" t="inlineStr">
        <is>
          <t>2026-09-15 14:30</t>
        </is>
      </c>
      <c r="C5" s="5" t="inlineStr">
        <is>
          <t>Chrome 141.0.7390.55</t>
        </is>
      </c>
      <c r="D5" s="5" t="inlineStr">
        <is>
          <t>Aprobado</t>
        </is>
      </c>
      <c r="E5" s="5" t="inlineStr">
        <is>
          <t>cap-CP-CAR-02.png</t>
        </is>
      </c>
      <c r="F5" s="5" t="inlineStr">
        <is>
          <t>Fila de ejemplo del formato esperado.</t>
        </is>
      </c>
    </row>
    <row r="6" ht="34" customHeight="1">
      <c r="A6" s="4" t="inlineStr">
        <is>
          <t>CP-CAT-01</t>
        </is>
      </c>
      <c r="B6" s="4" t="inlineStr">
        <is>
          <t>2026-09-15 10:05</t>
        </is>
      </c>
      <c r="C6" s="4" t="inlineStr">
        <is>
          <t>Chrome (canal estable)</t>
        </is>
      </c>
      <c r="D6" s="4" t="inlineStr">
        <is>
          <t>Aprobado</t>
        </is>
      </c>
      <c r="E6" s="4" t="inlineStr"/>
      <c r="F6" s="4" t="inlineStr">
        <is>
          <t>La portada carga con 9 productos, con nombre, precio, descripción e imagen. Ninguna imagen rota.</t>
        </is>
      </c>
    </row>
    <row r="7" ht="34" customHeight="1">
      <c r="A7" s="4" t="inlineStr">
        <is>
          <t>CP-CAT-02</t>
        </is>
      </c>
      <c r="B7" s="4" t="inlineStr">
        <is>
          <t>2026-09-15 10:06</t>
        </is>
      </c>
      <c r="C7" s="4" t="inlineStr">
        <is>
          <t>Chrome (canal estable)</t>
        </is>
      </c>
      <c r="D7" s="4" t="inlineStr">
        <is>
          <t>Aprobado</t>
        </is>
      </c>
      <c r="E7" s="4" t="inlineStr"/>
      <c r="F7" s="4" t="inlineStr">
        <is>
          <t>Phones devuelve 7 productos y los 7 son teléfonos.</t>
        </is>
      </c>
    </row>
    <row r="8" ht="34" customHeight="1">
      <c r="A8" s="4" t="inlineStr">
        <is>
          <t>CP-CAT-03</t>
        </is>
      </c>
      <c r="B8" s="4" t="inlineStr">
        <is>
          <t>2026-09-15 10:06</t>
        </is>
      </c>
      <c r="C8" s="4" t="inlineStr">
        <is>
          <t>Chrome (canal estable)</t>
        </is>
      </c>
      <c r="D8" s="4" t="inlineStr">
        <is>
          <t>Aprobado</t>
        </is>
      </c>
      <c r="E8" s="4" t="inlineStr"/>
      <c r="F8" s="4" t="inlineStr">
        <is>
          <t>Laptops 6 y Monitors 2, cada filtro reemplaza al anterior. Home restaura los 9 de la portada.</t>
        </is>
      </c>
    </row>
    <row r="9" ht="34" customHeight="1">
      <c r="A9" s="4" t="inlineStr">
        <is>
          <t>CP-CAT-04</t>
        </is>
      </c>
      <c r="B9" s="4" t="inlineStr">
        <is>
          <t>2026-09-15 10:07</t>
        </is>
      </c>
      <c r="C9" s="4" t="inlineStr">
        <is>
          <t>Chrome (canal estable)</t>
        </is>
      </c>
      <c r="D9" s="4" t="inlineStr">
        <is>
          <t>Aprobado</t>
        </is>
      </c>
      <c r="E9" s="4" t="inlineStr"/>
      <c r="F9" s="4" t="inlineStr">
        <is>
          <t>Next muestra 6 productos distintos de la primera página. 9 más 6 da los 15 del catálogo.</t>
        </is>
      </c>
    </row>
    <row r="10" ht="34" customHeight="1">
      <c r="A10" s="4" t="inlineStr">
        <is>
          <t>CP-CAT-05</t>
        </is>
      </c>
      <c r="B10" s="4" t="inlineStr">
        <is>
          <t>2026-09-15 10:07</t>
        </is>
      </c>
      <c r="C10" s="4" t="inlineStr">
        <is>
          <t>Chrome (canal estable)</t>
        </is>
      </c>
      <c r="D10" s="4" t="inlineStr">
        <is>
          <t>Aprobado</t>
        </is>
      </c>
      <c r="E10" s="4" t="inlineStr"/>
      <c r="F10" s="4" t="inlineStr">
        <is>
          <t>Listado y detalle coinciden: Samsung galaxy s6 a 360 en los dos.</t>
        </is>
      </c>
    </row>
    <row r="11" ht="34" customHeight="1">
      <c r="A11" s="4" t="inlineStr">
        <is>
          <t>CP-DET-01</t>
        </is>
      </c>
      <c r="B11" s="4" t="inlineStr">
        <is>
          <t>2026-09-15 10:08</t>
        </is>
      </c>
      <c r="C11" s="4" t="inlineStr">
        <is>
          <t>Chrome (canal estable)</t>
        </is>
      </c>
      <c r="D11" s="4" t="inlineStr">
        <is>
          <t>Aprobado</t>
        </is>
      </c>
      <c r="E11" s="4" t="inlineStr"/>
      <c r="F11" s="4" t="inlineStr">
        <is>
          <t>La ficha abre con los datos del producto seleccionado.</t>
        </is>
      </c>
    </row>
    <row r="12" ht="34" customHeight="1">
      <c r="A12" s="4" t="inlineStr">
        <is>
          <t>CP-DET-02</t>
        </is>
      </c>
      <c r="B12" s="4" t="inlineStr">
        <is>
          <t>2026-09-15 10:08</t>
        </is>
      </c>
      <c r="C12" s="4" t="inlineStr">
        <is>
          <t>Chrome (canal estable)</t>
        </is>
      </c>
      <c r="D12" s="4" t="inlineStr">
        <is>
          <t>Aprobado</t>
        </is>
      </c>
      <c r="E12" s="4" t="inlineStr"/>
      <c r="F12" s="4" t="inlineStr">
        <is>
          <t>idp_=1 carga Samsung galaxy s6, 360.</t>
        </is>
      </c>
    </row>
    <row r="13" ht="34" customHeight="1">
      <c r="A13" s="10" t="inlineStr">
        <is>
          <t>CP-DET-03</t>
        </is>
      </c>
      <c r="B13" s="10" t="inlineStr">
        <is>
          <t>2026-09-15 10:09</t>
        </is>
      </c>
      <c r="C13" s="10" t="inlineStr">
        <is>
          <t>Chrome (canal estable)</t>
        </is>
      </c>
      <c r="D13" s="10" t="inlineStr">
        <is>
          <t>Fallido</t>
        </is>
      </c>
      <c r="E13" s="10" t="inlineStr">
        <is>
          <t>defecto-producto-inexistente.png</t>
        </is>
      </c>
      <c r="F13" s="10" t="inlineStr">
        <is>
          <t>Con idp_=99999 la ficha muestra undefined en título, precio y descripción, imagen rota, y el botón de agregar al carrito operativo. Ver DEF-02.</t>
        </is>
      </c>
    </row>
    <row r="14" ht="34" customHeight="1">
      <c r="A14" s="4" t="inlineStr">
        <is>
          <t>CP-DET-04</t>
        </is>
      </c>
      <c r="B14" s="4" t="inlineStr">
        <is>
          <t>2026-09-15 10:15</t>
        </is>
      </c>
      <c r="C14" s="4" t="inlineStr">
        <is>
          <t>Chrome (canal estable)</t>
        </is>
      </c>
      <c r="D14" s="4" t="inlineStr">
        <is>
          <t>Aprobado</t>
        </is>
      </c>
      <c r="E14" s="4" t="inlineStr"/>
      <c r="F14" s="4" t="inlineStr">
        <is>
          <t>Producto real entra al carrito una sola vez y con su precio correcto.</t>
        </is>
      </c>
    </row>
    <row r="15" ht="34" customHeight="1">
      <c r="A15" s="4" t="inlineStr">
        <is>
          <t>CP-CAR-01</t>
        </is>
      </c>
      <c r="B15" s="4" t="inlineStr">
        <is>
          <t>2026-09-15 10:14</t>
        </is>
      </c>
      <c r="C15" s="4" t="inlineStr">
        <is>
          <t>Chrome (canal estable)</t>
        </is>
      </c>
      <c r="D15" s="4" t="inlineStr">
        <is>
          <t>Aprobado</t>
        </is>
      </c>
      <c r="E15" s="4" t="inlineStr"/>
      <c r="F15" s="4" t="inlineStr">
        <is>
          <t>El carrito arranca vacío, sin residuos.</t>
        </is>
      </c>
    </row>
    <row r="16" ht="34" customHeight="1">
      <c r="A16" s="4" t="inlineStr">
        <is>
          <t>CP-CAR-02</t>
        </is>
      </c>
      <c r="B16" s="4" t="inlineStr">
        <is>
          <t>2026-09-15 10:16</t>
        </is>
      </c>
      <c r="C16" s="4" t="inlineStr">
        <is>
          <t>Chrome (canal estable)</t>
        </is>
      </c>
      <c r="D16" s="4" t="inlineStr">
        <is>
          <t>Aprobado</t>
        </is>
      </c>
      <c r="E16" s="4" t="inlineStr"/>
      <c r="F16" s="4" t="inlineStr">
        <is>
          <t>Un producto, total 360, igual a su precio.</t>
        </is>
      </c>
    </row>
    <row r="17" ht="34" customHeight="1">
      <c r="A17" s="4" t="inlineStr">
        <is>
          <t>CP-CAR-03</t>
        </is>
      </c>
      <c r="B17" s="4" t="inlineStr">
        <is>
          <t>2026-09-15 10:18</t>
        </is>
      </c>
      <c r="C17" s="4" t="inlineStr">
        <is>
          <t>Chrome (canal estable)</t>
        </is>
      </c>
      <c r="D17" s="4" t="inlineStr">
        <is>
          <t>Aprobado</t>
        </is>
      </c>
      <c r="E17" s="4" t="inlineStr"/>
      <c r="F17" s="4" t="inlineStr">
        <is>
          <t>Tres ítems, total 2000, igual a 360 más 820 más 820.</t>
        </is>
      </c>
    </row>
    <row r="18" ht="34" customHeight="1">
      <c r="A18" s="4" t="inlineStr">
        <is>
          <t>CP-CAR-04</t>
        </is>
      </c>
      <c r="B18" s="4" t="inlineStr">
        <is>
          <t>2026-09-15 10:18</t>
        </is>
      </c>
      <c r="C18" s="4" t="inlineStr">
        <is>
          <t>Chrome (canal estable)</t>
        </is>
      </c>
      <c r="D18" s="4" t="inlineStr">
        <is>
          <t>Aprobado</t>
        </is>
      </c>
      <c r="E18" s="4" t="inlineStr"/>
      <c r="F18" s="4" t="inlineStr">
        <is>
          <t>El mismo producto agregado dos veces se lista dos veces y el total refleja 1640 por ese producto.</t>
        </is>
      </c>
    </row>
    <row r="19" ht="34" customHeight="1">
      <c r="A19" s="4" t="inlineStr">
        <is>
          <t>CP-CAR-05</t>
        </is>
      </c>
      <c r="B19" s="4" t="inlineStr">
        <is>
          <t>2026-09-15 10:19</t>
        </is>
      </c>
      <c r="C19" s="4" t="inlineStr">
        <is>
          <t>Chrome (canal estable)</t>
        </is>
      </c>
      <c r="D19" s="4" t="inlineStr">
        <is>
          <t>Aprobado</t>
        </is>
      </c>
      <c r="E19" s="4" t="inlineStr"/>
      <c r="F19" s="4" t="inlineStr">
        <is>
          <t>Al borrar el de 360 el total pasa de 2000 a 1640. Recalcula bien.</t>
        </is>
      </c>
    </row>
    <row r="20" ht="34" customHeight="1">
      <c r="A20" s="4" t="inlineStr">
        <is>
          <t>CP-CAR-06</t>
        </is>
      </c>
      <c r="B20" s="4" t="inlineStr">
        <is>
          <t>2026-09-15</t>
        </is>
      </c>
      <c r="C20" s="4" t="inlineStr"/>
      <c r="D20" s="4" t="inlineStr">
        <is>
          <t>No ejecutado</t>
        </is>
      </c>
      <c r="E20" s="4" t="inlineStr"/>
      <c r="F20" s="4" t="inlineStr">
        <is>
          <t>No alcanzó a ejecutarse en la ventana de trabajo. Queda pendiente.</t>
        </is>
      </c>
    </row>
    <row r="21" ht="34" customHeight="1">
      <c r="A21" s="4" t="inlineStr">
        <is>
          <t>CP-CAR-07</t>
        </is>
      </c>
      <c r="B21" s="4" t="inlineStr">
        <is>
          <t>2026-09-15 10:17</t>
        </is>
      </c>
      <c r="C21" s="4" t="inlineStr">
        <is>
          <t>Chrome (canal estable)</t>
        </is>
      </c>
      <c r="D21" s="4" t="inlineStr">
        <is>
          <t>Aprobado</t>
        </is>
      </c>
      <c r="E21" s="4" t="inlineStr"/>
      <c r="F21" s="4" t="inlineStr">
        <is>
          <t>El contenido del carrito se mantuvo al navegar a una ficha y volver.</t>
        </is>
      </c>
    </row>
    <row r="22" ht="34" customHeight="1">
      <c r="A22" s="11" t="inlineStr">
        <is>
          <t>CP-REG-01</t>
        </is>
      </c>
      <c r="B22" s="11" t="inlineStr">
        <is>
          <t>2026-09-15</t>
        </is>
      </c>
      <c r="C22" s="11" t="inlineStr"/>
      <c r="D22" s="11" t="inlineStr">
        <is>
          <t>Bloqueado</t>
        </is>
      </c>
      <c r="E22" s="11" t="inlineStr"/>
      <c r="F22" s="11" t="inlineStr">
        <is>
          <t>No se crean cuentas ni se escriben contraseñas en un sitio de terceros. Pendiente de ejecutar manualmente.</t>
        </is>
      </c>
    </row>
    <row r="23" ht="34" customHeight="1">
      <c r="A23" s="11" t="inlineStr">
        <is>
          <t>CP-REG-02</t>
        </is>
      </c>
      <c r="B23" s="11" t="inlineStr">
        <is>
          <t>2026-09-15</t>
        </is>
      </c>
      <c r="C23" s="11" t="inlineStr"/>
      <c r="D23" s="11" t="inlineStr">
        <is>
          <t>Bloqueado</t>
        </is>
      </c>
      <c r="E23" s="11" t="inlineStr"/>
      <c r="F23" s="11" t="inlineStr">
        <is>
          <t>Depende de CP-REG-01.</t>
        </is>
      </c>
    </row>
    <row r="24" ht="34" customHeight="1">
      <c r="A24" s="11" t="inlineStr">
        <is>
          <t>CP-REG-03</t>
        </is>
      </c>
      <c r="B24" s="11" t="inlineStr">
        <is>
          <t>2026-09-15</t>
        </is>
      </c>
      <c r="C24" s="11" t="inlineStr"/>
      <c r="D24" s="11" t="inlineStr">
        <is>
          <t>Bloqueado</t>
        </is>
      </c>
      <c r="E24" s="11" t="inlineStr"/>
      <c r="F24" s="11" t="inlineStr">
        <is>
          <t>Depende de CP-REG-01.</t>
        </is>
      </c>
    </row>
    <row r="25" ht="34" customHeight="1">
      <c r="A25" s="11" t="inlineStr">
        <is>
          <t>CP-REG-04</t>
        </is>
      </c>
      <c r="B25" s="11" t="inlineStr">
        <is>
          <t>2026-09-15</t>
        </is>
      </c>
      <c r="C25" s="11" t="inlineStr"/>
      <c r="D25" s="11" t="inlineStr">
        <is>
          <t>Bloqueado</t>
        </is>
      </c>
      <c r="E25" s="11" t="inlineStr"/>
      <c r="F25" s="11" t="inlineStr">
        <is>
          <t>Depende de CP-REG-01.</t>
        </is>
      </c>
    </row>
    <row r="26" ht="34" customHeight="1">
      <c r="A26" s="11" t="inlineStr">
        <is>
          <t>CP-LOG-01</t>
        </is>
      </c>
      <c r="B26" s="11" t="inlineStr">
        <is>
          <t>2026-09-15</t>
        </is>
      </c>
      <c r="C26" s="11" t="inlineStr"/>
      <c r="D26" s="11" t="inlineStr">
        <is>
          <t>Bloqueado</t>
        </is>
      </c>
      <c r="E26" s="11" t="inlineStr"/>
      <c r="F26" s="11" t="inlineStr">
        <is>
          <t>Requiere cuenta y contraseña. Mismo motivo que CP-REG-01.</t>
        </is>
      </c>
    </row>
    <row r="27" ht="34" customHeight="1">
      <c r="A27" s="11" t="inlineStr">
        <is>
          <t>CP-LOG-02</t>
        </is>
      </c>
      <c r="B27" s="11" t="inlineStr">
        <is>
          <t>2026-09-15</t>
        </is>
      </c>
      <c r="C27" s="11" t="inlineStr"/>
      <c r="D27" s="11" t="inlineStr">
        <is>
          <t>Bloqueado</t>
        </is>
      </c>
      <c r="E27" s="11" t="inlineStr"/>
      <c r="F27" s="11" t="inlineStr">
        <is>
          <t>Mismo motivo.</t>
        </is>
      </c>
    </row>
    <row r="28" ht="34" customHeight="1">
      <c r="A28" s="11" t="inlineStr">
        <is>
          <t>CP-LOG-03</t>
        </is>
      </c>
      <c r="B28" s="11" t="inlineStr">
        <is>
          <t>2026-09-15</t>
        </is>
      </c>
      <c r="C28" s="11" t="inlineStr"/>
      <c r="D28" s="11" t="inlineStr">
        <is>
          <t>Bloqueado</t>
        </is>
      </c>
      <c r="E28" s="11" t="inlineStr"/>
      <c r="F28" s="11" t="inlineStr">
        <is>
          <t>Mismo motivo.</t>
        </is>
      </c>
    </row>
    <row r="29" ht="34" customHeight="1">
      <c r="A29" s="11" t="inlineStr">
        <is>
          <t>CP-LOG-04</t>
        </is>
      </c>
      <c r="B29" s="11" t="inlineStr">
        <is>
          <t>2026-09-15</t>
        </is>
      </c>
      <c r="C29" s="11" t="inlineStr"/>
      <c r="D29" s="11" t="inlineStr">
        <is>
          <t>Bloqueado</t>
        </is>
      </c>
      <c r="E29" s="11" t="inlineStr"/>
      <c r="F29" s="11" t="inlineStr">
        <is>
          <t>Mismo motivo.</t>
        </is>
      </c>
    </row>
    <row r="30" ht="34" customHeight="1">
      <c r="A30" s="11" t="inlineStr">
        <is>
          <t>CP-LOG-05</t>
        </is>
      </c>
      <c r="B30" s="11" t="inlineStr">
        <is>
          <t>2026-09-15</t>
        </is>
      </c>
      <c r="C30" s="11" t="inlineStr"/>
      <c r="D30" s="11" t="inlineStr">
        <is>
          <t>Bloqueado</t>
        </is>
      </c>
      <c r="E30" s="11" t="inlineStr"/>
      <c r="F30" s="11" t="inlineStr">
        <is>
          <t>Mismo motivo.</t>
        </is>
      </c>
    </row>
    <row r="31" ht="34" customHeight="1">
      <c r="A31" s="11" t="inlineStr">
        <is>
          <t>CP-COM-01</t>
        </is>
      </c>
      <c r="B31" s="11" t="inlineStr">
        <is>
          <t>2026-09-15</t>
        </is>
      </c>
      <c r="C31" s="11" t="inlineStr"/>
      <c r="D31" s="11" t="inlineStr">
        <is>
          <t>Bloqueado</t>
        </is>
      </c>
      <c r="E31" s="11" t="inlineStr"/>
      <c r="F31" s="11" t="inlineStr">
        <is>
          <t>Exige sesión iniciada y no se creó cuenta. La compra sin sesión sí se probó en CP-COM-03.</t>
        </is>
      </c>
    </row>
    <row r="32" ht="34" customHeight="1">
      <c r="A32" s="10" t="inlineStr">
        <is>
          <t>CP-COM-02</t>
        </is>
      </c>
      <c r="B32" s="10" t="inlineStr">
        <is>
          <t>2026-09-15 10:26</t>
        </is>
      </c>
      <c r="C32" s="10" t="inlineStr">
        <is>
          <t>Chrome (canal estable)</t>
        </is>
      </c>
      <c r="D32" s="10" t="inlineStr">
        <is>
          <t>Fallido</t>
        </is>
      </c>
      <c r="E32" s="10" t="inlineStr">
        <is>
          <t>defecto-comprobante.png</t>
        </is>
      </c>
      <c r="F32" s="10" t="inlineStr">
        <is>
          <t>Con el carrito vacío la compra se completó igual y emitió el comprobante Id 5215762 por 0 USD. Ver DEF-03.</t>
        </is>
      </c>
    </row>
    <row r="33" ht="34" customHeight="1">
      <c r="A33" s="10" t="inlineStr">
        <is>
          <t>CP-COM-03</t>
        </is>
      </c>
      <c r="B33" s="10" t="inlineStr">
        <is>
          <t>2026-09-15 10:24</t>
        </is>
      </c>
      <c r="C33" s="10" t="inlineStr">
        <is>
          <t>Chrome (canal estable)</t>
        </is>
      </c>
      <c r="D33" s="10" t="inlineStr">
        <is>
          <t>Fallido</t>
        </is>
      </c>
      <c r="E33" s="10" t="inlineStr">
        <is>
          <t>defecto-comprobante.png</t>
        </is>
      </c>
      <c r="F33" s="10" t="inlineStr">
        <is>
          <t>La compra se completó sin sesión iniciada. Discrepancia contra el criterio de referencia, no defecto. Queda como consulta al dueño del producto.</t>
        </is>
      </c>
    </row>
    <row r="34" ht="34" customHeight="1">
      <c r="A34" s="4" t="inlineStr">
        <is>
          <t>CP-COM-04</t>
        </is>
      </c>
      <c r="B34" s="4" t="inlineStr">
        <is>
          <t>2026-09-15 10:23</t>
        </is>
      </c>
      <c r="C34" s="4" t="inlineStr">
        <is>
          <t>Chrome (canal estable)</t>
        </is>
      </c>
      <c r="D34" s="4" t="inlineStr">
        <is>
          <t>Aprobado</t>
        </is>
      </c>
      <c r="E34" s="4" t="inlineStr"/>
      <c r="F34" s="4" t="inlineStr">
        <is>
          <t>Con Nombre y Tarjeta vacíos responde Please fill out Name and Creditcard y no emite comprobante ni vacía el carrito.</t>
        </is>
      </c>
    </row>
    <row r="35" ht="34" customHeight="1">
      <c r="A35" s="10" t="inlineStr">
        <is>
          <t>CP-COM-05</t>
        </is>
      </c>
      <c r="B35" s="10" t="inlineStr">
        <is>
          <t>2026-09-15 10:24</t>
        </is>
      </c>
      <c r="C35" s="10" t="inlineStr">
        <is>
          <t>Chrome (canal estable)</t>
        </is>
      </c>
      <c r="D35" s="10" t="inlineStr">
        <is>
          <t>Fallido</t>
        </is>
      </c>
      <c r="E35" s="10" t="inlineStr">
        <is>
          <t>defecto-comprobante.png</t>
        </is>
      </c>
      <c r="F35" s="10" t="inlineStr">
        <is>
          <t>Con tarjeta abcd-efgh-!!!! la compra se completó y el comprobante reproduce ese texto como número de tarjeta. Ver DEF-04.</t>
        </is>
      </c>
    </row>
    <row r="36" ht="34" customHeight="1">
      <c r="A36" s="4" t="inlineStr">
        <is>
          <t>CP-COM-06</t>
        </is>
      </c>
      <c r="B36" s="4" t="inlineStr">
        <is>
          <t>2026-09-15</t>
        </is>
      </c>
      <c r="C36" s="4" t="inlineStr"/>
      <c r="D36" s="4" t="inlineStr">
        <is>
          <t>No ejecutado</t>
        </is>
      </c>
      <c r="E36" s="4" t="inlineStr"/>
      <c r="F36" s="4" t="inlineStr">
        <is>
          <t>No alcanzó a ejecutarse en la ventana de trabajo. Queda pendiente.</t>
        </is>
      </c>
    </row>
    <row r="37" ht="34" customHeight="1">
      <c r="A37" s="10" t="inlineStr">
        <is>
          <t>CP-COM-07</t>
        </is>
      </c>
      <c r="B37" s="10" t="inlineStr">
        <is>
          <t>2026-09-15 10:24</t>
        </is>
      </c>
      <c r="C37" s="10" t="inlineStr">
        <is>
          <t>Chrome (canal estable)</t>
        </is>
      </c>
      <c r="D37" s="10" t="inlineStr">
        <is>
          <t>Fallido</t>
        </is>
      </c>
      <c r="E37" s="10" t="inlineStr">
        <is>
          <t>defecto-comprobante.png</t>
        </is>
      </c>
      <c r="F37" s="10" t="inlineStr">
        <is>
          <t>El monto del comprobante, 1640, coincide con el total del carrito. La fecha no: dice 15/8/2026 y la ejecución fue el 15 de septiembre. Ver DEF-05.</t>
        </is>
      </c>
    </row>
    <row r="38" ht="34" customHeight="1">
      <c r="A38" s="4" t="inlineStr">
        <is>
          <t>CP-COM-08</t>
        </is>
      </c>
      <c r="B38" s="4" t="inlineStr">
        <is>
          <t>2026-09-15 10:26</t>
        </is>
      </c>
      <c r="C38" s="4" t="inlineStr">
        <is>
          <t>Chrome (canal estable)</t>
        </is>
      </c>
      <c r="D38" s="4" t="inlineStr">
        <is>
          <t>Aprobado</t>
        </is>
      </c>
      <c r="E38" s="4" t="inlineStr"/>
      <c r="F38" s="4" t="inlineStr">
        <is>
          <t>Después de la compra el carrito quedó vacío.</t>
        </is>
      </c>
    </row>
    <row r="39" ht="34" customHeight="1">
      <c r="A39" s="4" t="inlineStr">
        <is>
          <t>CP-CON-01</t>
        </is>
      </c>
      <c r="B39" s="4" t="inlineStr">
        <is>
          <t>2026-09-15 10:32</t>
        </is>
      </c>
      <c r="C39" s="4" t="inlineStr">
        <is>
          <t>Chrome (canal estable)</t>
        </is>
      </c>
      <c r="D39" s="4" t="inlineStr">
        <is>
          <t>Aprobado</t>
        </is>
      </c>
      <c r="E39" s="4" t="inlineStr"/>
      <c r="F39" s="4" t="inlineStr">
        <is>
          <t>Con datos válidos responde Thanks for the message!!</t>
        </is>
      </c>
    </row>
    <row r="40" ht="34" customHeight="1">
      <c r="A40" s="10" t="inlineStr">
        <is>
          <t>CP-CON-02</t>
        </is>
      </c>
      <c r="B40" s="10" t="inlineStr">
        <is>
          <t>2026-09-15 10:30</t>
        </is>
      </c>
      <c r="C40" s="10" t="inlineStr">
        <is>
          <t>Chrome (canal estable)</t>
        </is>
      </c>
      <c r="D40" s="10" t="inlineStr">
        <is>
          <t>Fallido</t>
        </is>
      </c>
      <c r="E40" s="10" t="inlineStr"/>
      <c r="F40" s="10" t="inlineStr">
        <is>
          <t>Con los tres campos vacíos responde Thanks for the message!! No hay validación. Ver DEF-06.</t>
        </is>
      </c>
    </row>
    <row r="41" ht="34" customHeight="1">
      <c r="A41" s="10" t="inlineStr">
        <is>
          <t>CP-CON-03</t>
        </is>
      </c>
      <c r="B41" s="10" t="inlineStr">
        <is>
          <t>2026-09-15 10:31</t>
        </is>
      </c>
      <c r="C41" s="10" t="inlineStr">
        <is>
          <t>Chrome (canal estable)</t>
        </is>
      </c>
      <c r="D41" s="10" t="inlineStr">
        <is>
          <t>Fallido</t>
        </is>
      </c>
      <c r="E41" s="10" t="inlineStr"/>
      <c r="F41" s="10" t="inlineStr">
        <is>
          <t>Con el correo correo-sin-arroba responde Thanks for the message!! Ver DEF-06.</t>
        </is>
      </c>
    </row>
    <row r="42" ht="34" customHeight="1">
      <c r="A42" s="10" t="inlineStr">
        <is>
          <t>CP-INT-01</t>
        </is>
      </c>
      <c r="B42" s="10" t="inlineStr">
        <is>
          <t>2026-09-15 09:58</t>
        </is>
      </c>
      <c r="C42" s="10" t="inlineStr">
        <is>
          <t>Chrome (canal estable)</t>
        </is>
      </c>
      <c r="D42" s="10" t="inlineStr">
        <is>
          <t>Fallido</t>
        </is>
      </c>
      <c r="E42" s="10" t="inlineStr">
        <is>
          <t>arbol-accesibilidad-place-order.png</t>
        </is>
      </c>
      <c r="F42" s="10" t="inlineStr">
        <is>
          <t>El campo siguiente a Name se anuncia como Total. Ver DEF-01.</t>
        </is>
      </c>
    </row>
    <row r="43" ht="34" customHeight="1">
      <c r="A43" s="10" t="inlineStr">
        <is>
          <t>CP-INT-02</t>
        </is>
      </c>
      <c r="B43" s="10" t="inlineStr">
        <is>
          <t>2026-09-15 09:58</t>
        </is>
      </c>
      <c r="C43" s="10" t="inlineStr">
        <is>
          <t>Chrome (canal estable)</t>
        </is>
      </c>
      <c r="D43" s="10" t="inlineStr">
        <is>
          <t>Fallido</t>
        </is>
      </c>
      <c r="E43" s="10" t="inlineStr">
        <is>
          <t>arbol-accesibilidad-contact.png</t>
        </is>
      </c>
      <c r="F43" s="10" t="inlineStr">
        <is>
          <t>El campo siguiente a Contact Name se anuncia como Contact Email. Ver DEF-01.</t>
        </is>
      </c>
    </row>
    <row r="44" ht="34" customHeight="1">
      <c r="A44" s="4" t="inlineStr">
        <is>
          <t>CP-INT-03</t>
        </is>
      </c>
      <c r="B44" s="4" t="inlineStr">
        <is>
          <t>2026-09-15</t>
        </is>
      </c>
      <c r="C44" s="4" t="inlineStr"/>
      <c r="D44" s="4" t="inlineStr">
        <is>
          <t>No ejecutado</t>
        </is>
      </c>
      <c r="E44" s="4" t="inlineStr"/>
      <c r="F44" s="4" t="inlineStr">
        <is>
          <t>No alcanzó a ejecutarse en la ventana de trabajo. Queda pendiente.</t>
        </is>
      </c>
    </row>
    <row r="45" ht="34" customHeight="1">
      <c r="A45" s="12" t="inlineStr">
        <is>
          <t>CP-INT-04</t>
        </is>
      </c>
      <c r="B45" s="12" t="inlineStr">
        <is>
          <t>2026-09-15 10:34</t>
        </is>
      </c>
      <c r="C45" s="12" t="inlineStr">
        <is>
          <t>Chrome (canal estable)</t>
        </is>
      </c>
      <c r="D45" s="12" t="inlineStr">
        <is>
          <t>No concluyente</t>
        </is>
      </c>
      <c r="E45" s="12" t="inlineStr"/>
      <c r="F45" s="12" t="inlineStr">
        <is>
          <t>El navegador siguió reportando 2560 de ancho aunque se redimensionó la ventana, así que no se pudo forzar 1366 por 768. Repetir con el navegador en un equipo sin escalado.</t>
        </is>
      </c>
    </row>
    <row r="46" ht="34" customHeight="1">
      <c r="A46" s="10" t="inlineStr">
        <is>
          <t>CP-PER-01</t>
        </is>
      </c>
      <c r="B46" s="10" t="inlineStr">
        <is>
          <t>2026-09-15 17:50 (14/09)</t>
        </is>
      </c>
      <c r="C46" s="10" t="inlineStr">
        <is>
          <t>Chrome (canal estable)</t>
        </is>
      </c>
      <c r="D46" s="10" t="inlineStr">
        <is>
          <t>Fallido</t>
        </is>
      </c>
      <c r="E46" s="10" t="inlineStr">
        <is>
          <t>rendimiento-escritorio.png</t>
        </is>
      </c>
      <c r="F46" s="10" t="inlineStr">
        <is>
          <t>Evaluación desaprobada. CLS 0,12 contra un umbral de 0,10. Las otras cuatro métricas cumplen. Ver DEF-07.</t>
        </is>
      </c>
    </row>
    <row r="47" ht="34" customHeight="1">
      <c r="A47" s="10" t="inlineStr">
        <is>
          <t>CP-PER-02</t>
        </is>
      </c>
      <c r="B47" s="10" t="inlineStr">
        <is>
          <t>2026-09-15 10:12</t>
        </is>
      </c>
      <c r="C47" s="10" t="inlineStr">
        <is>
          <t>Chrome (canal estable)</t>
        </is>
      </c>
      <c r="D47" s="10" t="inlineStr">
        <is>
          <t>Fallido</t>
        </is>
      </c>
      <c r="E47" s="10" t="inlineStr">
        <is>
          <t>rendimiento-movil.png</t>
        </is>
      </c>
      <c r="F47" s="10" t="inlineStr">
        <is>
          <t>Evaluación desaprobada en móvil. Fallan LCP 3,4 s, CLS 0,23 y TTFB 1,1 s. Ver DEF-07.</t>
        </is>
      </c>
    </row>
    <row r="48" ht="34" customHeight="1">
      <c r="A48" s="11" t="inlineStr">
        <is>
          <t>CP-PER-03</t>
        </is>
      </c>
      <c r="B48" s="11" t="inlineStr">
        <is>
          <t>2026-09-15</t>
        </is>
      </c>
      <c r="C48" s="11" t="inlineStr"/>
      <c r="D48" s="11" t="inlineStr">
        <is>
          <t>Bloqueado</t>
        </is>
      </c>
      <c r="E48" s="11" t="inlineStr"/>
      <c r="F48" s="11" t="inlineStr">
        <is>
          <t>Sin entorno propio ni autorización escrita del propietario.</t>
        </is>
      </c>
    </row>
    <row r="49" ht="34" customHeight="1">
      <c r="A49" s="11" t="inlineStr">
        <is>
          <t>CP-PER-04</t>
        </is>
      </c>
      <c r="B49" s="11" t="inlineStr">
        <is>
          <t>2026-09-15</t>
        </is>
      </c>
      <c r="C49" s="11" t="inlineStr"/>
      <c r="D49" s="11" t="inlineStr">
        <is>
          <t>Bloqueado</t>
        </is>
      </c>
      <c r="E49" s="11" t="inlineStr"/>
      <c r="F49" s="11" t="inlineStr">
        <is>
          <t>Sin entorno propio ni autorización escrita del propietario.</t>
        </is>
      </c>
    </row>
    <row r="50" ht="34" customHeight="1">
      <c r="A50" s="4" t="inlineStr">
        <is>
          <t>CP-ISP-01</t>
        </is>
      </c>
      <c r="B50" s="4" t="inlineStr">
        <is>
          <t>2026-09-15 10:40</t>
        </is>
      </c>
      <c r="C50" s="4" t="inlineStr">
        <is>
          <t>Chrome (canal estable)</t>
        </is>
      </c>
      <c r="D50" s="4" t="inlineStr">
        <is>
          <t>Aprobado</t>
        </is>
      </c>
      <c r="E50" s="4" t="inlineStr"/>
      <c r="F50" s="4" t="inlineStr">
        <is>
          <t>GET /entries responde 200 en 0,44 s con 9 productos, los mismos que muestra la portada.</t>
        </is>
      </c>
    </row>
    <row r="51" ht="34" customHeight="1">
      <c r="A51" s="10" t="inlineStr">
        <is>
          <t>CP-ISP-02</t>
        </is>
      </c>
      <c r="B51" s="10" t="inlineStr">
        <is>
          <t>2026-09-15 10:41</t>
        </is>
      </c>
      <c r="C51" s="10" t="inlineStr">
        <is>
          <t>Chrome (canal estable)</t>
        </is>
      </c>
      <c r="D51" s="10" t="inlineStr">
        <is>
          <t>Fallido</t>
        </is>
      </c>
      <c r="E51" s="10" t="inlineStr"/>
      <c r="F51" s="10" t="inlineStr">
        <is>
          <t>bycat devuelve 7 más 6 más 2, o sea 15 productos, mientras entries devuelve 9. Los dos servicios paginan distinto. Ver DEF-08.</t>
        </is>
      </c>
    </row>
    <row r="52" ht="34" customHeight="1">
      <c r="A52" s="4" t="inlineStr">
        <is>
          <t>CP-ISP-03</t>
        </is>
      </c>
      <c r="B52" s="4" t="inlineStr">
        <is>
          <t>2026-09-15 10:41</t>
        </is>
      </c>
      <c r="C52" s="4" t="inlineStr">
        <is>
          <t>Chrome (canal estable)</t>
        </is>
      </c>
      <c r="D52" s="4" t="inlineStr">
        <is>
          <t>Aprobado</t>
        </is>
      </c>
      <c r="E52" s="4" t="inlineStr"/>
      <c r="F52" s="4" t="inlineStr">
        <is>
          <t>view e entries coinciden en título y precio para el id 1.</t>
        </is>
      </c>
    </row>
    <row r="53" ht="34" customHeight="1">
      <c r="A53" s="10" t="inlineStr">
        <is>
          <t>CP-ISP-04</t>
        </is>
      </c>
      <c r="B53" s="10" t="inlineStr">
        <is>
          <t>2026-09-15 10:42</t>
        </is>
      </c>
      <c r="C53" s="10" t="inlineStr">
        <is>
          <t>Chrome (canal estable)</t>
        </is>
      </c>
      <c r="D53" s="10" t="inlineStr">
        <is>
          <t>Fallido</t>
        </is>
      </c>
      <c r="E53" s="10" t="inlineStr">
        <is>
          <t>defecto-producto-inexistente.png</t>
        </is>
      </c>
      <c r="F53" s="10" t="inlineStr">
        <is>
          <t>view con id 99999 responde 200 OK con errorMessage Not found. Debería ser 404. Ver DEF-02.</t>
        </is>
      </c>
    </row>
    <row r="54" ht="34" customHeight="1">
      <c r="A54" s="10" t="inlineStr">
        <is>
          <t>CP-SEG-01</t>
        </is>
      </c>
      <c r="B54" s="10" t="inlineStr">
        <is>
          <t>2026-09-15 10:48</t>
        </is>
      </c>
      <c r="C54" s="10" t="inlineStr">
        <is>
          <t>Peticiones directas a la API</t>
        </is>
      </c>
      <c r="D54" s="10" t="inlineStr">
        <is>
          <t>Fallido</t>
        </is>
      </c>
      <c r="E54" s="10" t="inlineStr"/>
      <c r="F54" s="10" t="inlineStr">
        <is>
          <t>La portada no devuelve ninguna cabecera de seguridad. Ver DEF-10.</t>
        </is>
      </c>
    </row>
    <row r="55" ht="34" customHeight="1">
      <c r="A55" s="10" t="inlineStr">
        <is>
          <t>CP-SEG-02</t>
        </is>
      </c>
      <c r="B55" s="10" t="inlineStr">
        <is>
          <t>2026-09-15 10:49</t>
        </is>
      </c>
      <c r="C55" s="10" t="inlineStr">
        <is>
          <t>Peticiones directas a la API</t>
        </is>
      </c>
      <c r="D55" s="10" t="inlineStr">
        <is>
          <t>Fallido</t>
        </is>
      </c>
      <c r="E55" s="10" t="inlineStr"/>
      <c r="F55" s="10" t="inlineStr">
        <is>
          <t>La contraseña viaja como base64: dGVzdDEyMw== decodifica a test123. Ver DEF-11.</t>
        </is>
      </c>
    </row>
    <row r="56" ht="34" customHeight="1">
      <c r="A56" s="10" t="inlineStr">
        <is>
          <t>CP-SEG-03</t>
        </is>
      </c>
      <c r="B56" s="10" t="inlineStr">
        <is>
          <t>2026-09-15 10:50</t>
        </is>
      </c>
      <c r="C56" s="10" t="inlineStr">
        <is>
          <t>Peticiones directas a la API</t>
        </is>
      </c>
      <c r="D56" s="10" t="inlineStr">
        <is>
          <t>Fallido</t>
        </is>
      </c>
      <c r="E56" s="10" t="inlineStr"/>
      <c r="F56" s="10" t="inlineStr">
        <is>
          <t>Con un usuario inexistente el servicio responde 'User does not exist.', lo que permite enumerar cuentas. Ver DEF-12.</t>
        </is>
      </c>
    </row>
    <row r="57" ht="40" customHeight="1">
      <c r="A57" s="4" t="inlineStr">
        <is>
          <t>CP-SEG-04</t>
        </is>
      </c>
      <c r="B57" s="4" t="inlineStr">
        <is>
          <t>2026-09-15 11:20</t>
        </is>
      </c>
      <c r="C57" s="4" t="inlineStr">
        <is>
          <t>Peticiones directas a la API</t>
        </is>
      </c>
      <c r="D57" s="4" t="inlineStr">
        <is>
          <t>Aprobado</t>
        </is>
      </c>
      <c r="E57" s="4" t="inlineStr"/>
      <c r="F57" s="4" t="inlineStr">
        <is>
          <t>Las tres cadenas de inyeccion no devolvieron token: no hubo bypass. Anomalia: respondieron 'Wrong password.' y no 'User does not exist.', o sea que la cadena se trato como usuario existente. Sin vulnerabilidad confirmada, queda para revision.</t>
        </is>
      </c>
    </row>
    <row r="58" ht="40" customHeight="1">
      <c r="A58" s="10" t="inlineStr">
        <is>
          <t>CP-SEG-05</t>
        </is>
      </c>
      <c r="B58" s="10" t="inlineStr">
        <is>
          <t>2026-09-15 11:21</t>
        </is>
      </c>
      <c r="C58" s="10" t="inlineStr">
        <is>
          <t>Peticiones directas a la API</t>
        </is>
      </c>
      <c r="D58" s="10" t="inlineStr">
        <is>
          <t>Fallido</t>
        </is>
      </c>
      <c r="E58" s="10" t="inlineStr"/>
      <c r="F58" s="10" t="inlineStr">
        <is>
          <t>admin, test y administrator responden 'Wrong password.' (existen); un nombre al azar responde 'User does not exist.'. Enumeracion confirmada por los dos lados. Ver DEF-12.</t>
        </is>
      </c>
    </row>
    <row r="59" ht="40" customHeight="1">
      <c r="A59" s="10" t="inlineStr">
        <is>
          <t>CP-SEG-06</t>
        </is>
      </c>
      <c r="B59" s="10" t="inlineStr">
        <is>
          <t>2026-09-15 11:22</t>
        </is>
      </c>
      <c r="C59" s="10" t="inlineStr">
        <is>
          <t>Peticiones directas a la API</t>
        </is>
      </c>
      <c r="D59" s="10" t="inlineStr">
        <is>
          <t>Fallido</t>
        </is>
      </c>
      <c r="E59" s="10" t="inlineStr"/>
      <c r="F59" s="10" t="inlineStr">
        <is>
          <t>OPTIONS desde el origen inventado sitio-atacante.example devuelve Access-Control-Allow-Origin con ese origen y Access-Control-Allow-Credentials: true. Ver DEF-13.</t>
        </is>
      </c>
    </row>
    <row r="60" ht="40" customHeight="1">
      <c r="A60" s="4" t="inlineStr">
        <is>
          <t>CP-COMP-01</t>
        </is>
      </c>
      <c r="B60" s="4" t="inlineStr">
        <is>
          <t>2026-09-15 12:40</t>
        </is>
      </c>
      <c r="C60" s="4" t="inlineStr">
        <is>
          <t>Navegador en la nube</t>
        </is>
      </c>
      <c r="D60" s="4" t="inlineStr">
        <is>
          <t>Aprobado</t>
        </is>
      </c>
      <c r="E60" s="4" t="inlineStr">
        <is>
          <t>compat-chrome.png</t>
        </is>
      </c>
      <c r="F60" s="4" t="inlineStr">
        <is>
          <t>Chrome 138 sobre Windows 10, via un navegador en la nube. La portada carga completa y bien maquetada.</t>
        </is>
      </c>
    </row>
    <row r="61" ht="40" customHeight="1">
      <c r="A61" s="10" t="inlineStr">
        <is>
          <t>CP-COMP-02</t>
        </is>
      </c>
      <c r="B61" s="10" t="inlineStr">
        <is>
          <t>2026-09-15 12:45</t>
        </is>
      </c>
      <c r="C61" s="10" t="inlineStr">
        <is>
          <t>Navegador en la nube</t>
        </is>
      </c>
      <c r="D61" s="10" t="inlineStr">
        <is>
          <t>Fallido</t>
        </is>
      </c>
      <c r="E61" s="10" t="inlineStr">
        <is>
          <t>compat-tor.png</t>
        </is>
      </c>
      <c r="F61" s="10" t="inlineStr">
        <is>
          <t>Tor Browser 14.5 (motor Gecko). La tienda funciona, pero los enlaces del menu superior (About us, Log in, Sign up) se parten en dos lineas. Ver DEF-14.</t>
        </is>
      </c>
    </row>
    <row r="62" ht="40" customHeight="1">
      <c r="A62" s="12" t="inlineStr">
        <is>
          <t>CP-COMP-03</t>
        </is>
      </c>
      <c r="B62" s="12" t="inlineStr">
        <is>
          <t>2026-09-15 13:10</t>
        </is>
      </c>
      <c r="C62" s="12" t="inlineStr">
        <is>
          <t>Safari sobre macOS</t>
        </is>
      </c>
      <c r="D62" s="4" t="inlineStr">
        <is>
          <t>Aprobado</t>
        </is>
      </c>
      <c r="E62" s="12" t="inlineStr">
        <is>
          <t>compat-safari.png</t>
        </is>
      </c>
      <c r="F62" s="12" t="inlineStr">
        <is>
          <t>Safari (WebKit) sobre macOS . La tienda se ve identica a Chrome: menu en una linea, carrusel con imagen y grilla de 3 columnas.</t>
        </is>
      </c>
    </row>
    <row r="63" ht="40" customHeight="1">
      <c r="A63" s="12" t="inlineStr">
        <is>
          <t>CP-COMP-04</t>
        </is>
      </c>
      <c r="B63" s="12" t="inlineStr">
        <is>
          <t>2026-09-15 13:19</t>
        </is>
      </c>
      <c r="C63" s="12" t="inlineStr">
        <is>
          <t>Safari en iPhone (real)</t>
        </is>
      </c>
      <c r="D63" s="4" t="inlineStr">
        <is>
          <t>Aprobado</t>
        </is>
      </c>
      <c r="E63" s="12" t="inlineStr">
        <is>
          <t>compat-ios.png</t>
        </is>
      </c>
      <c r="F63" s="12" t="inlineStr">
        <is>
          <t>Safari sobre iOS en un iPhone real. La tienda carga completa y funcional: menu, categorias, los 8 productos con imagen y descripcion, y el pie de pagina. Evidencia: guardado como PDF desde el telefono (ancho de impresion), por eso el menu sale en una linea; el layout a 375px esta en CP-COMP-06.</t>
        </is>
      </c>
    </row>
    <row r="64" ht="40" customHeight="1">
      <c r="A64" s="12" t="inlineStr">
        <is>
          <t>CP-COMP-05</t>
        </is>
      </c>
      <c r="B64" s="12" t="inlineStr">
        <is>
          <t>2026-09-15 13:00</t>
        </is>
      </c>
      <c r="C64" s="12" t="inlineStr">
        <is>
          <t>una herramienta de tamanos de pantalla</t>
        </is>
      </c>
      <c r="D64" s="4" t="inlineStr">
        <is>
          <t>Aprobado</t>
        </is>
      </c>
      <c r="E64" s="12" t="inlineStr">
        <is>
          <t>resp-tablet.png</t>
        </is>
      </c>
      <c r="F64" s="12" t="inlineStr">
        <is>
          <t>En iPad (1024x768) el layout de escritorio se mantiene: carrusel, grilla de 3 columnas y menu en una linea.</t>
        </is>
      </c>
    </row>
    <row r="65" ht="46" customHeight="1">
      <c r="A65" s="4" t="inlineStr">
        <is>
          <t>CP-COMP-06</t>
        </is>
      </c>
      <c r="B65" s="4" t="inlineStr">
        <is>
          <t>2026-09-15 13:02</t>
        </is>
      </c>
      <c r="C65" s="4" t="inlineStr">
        <is>
          <t>una herramienta de tamanos de pantalla</t>
        </is>
      </c>
      <c r="D65" s="10" t="inlineStr">
        <is>
          <t>Fallido</t>
        </is>
      </c>
      <c r="E65" s="4" t="inlineStr">
        <is>
          <t>resp-movil.png</t>
        </is>
      </c>
      <c r="F65" s="4" t="inlineStr">
        <is>
          <t>En iPhone (375x667) las categorias y productos se apilan bien, pero el menu no colapsa a un boton (se amontona en dos filas) y el carrusel se ve vacio. Ver DEF-15.</t>
        </is>
      </c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 ht="34" customHeight="1">
      <c r="A106" s="13" t="n"/>
      <c r="B106" s="13" t="n"/>
      <c r="C106" s="13" t="n"/>
      <c r="D106" s="13" t="n"/>
      <c r="E106" s="13" t="n"/>
      <c r="F106" s="13" t="n"/>
    </row>
    <row r="107" ht="34" customHeight="1">
      <c r="A107" s="13" t="n"/>
      <c r="B107" s="13" t="n"/>
      <c r="C107" s="13" t="n"/>
      <c r="D107" s="13" t="n"/>
      <c r="E107" s="13" t="n"/>
      <c r="F107" s="13" t="n"/>
    </row>
    <row r="108" ht="34" customHeight="1">
      <c r="A108" s="13" t="n"/>
      <c r="B108" s="13" t="n"/>
      <c r="C108" s="13" t="n"/>
      <c r="D108" s="13" t="n"/>
      <c r="E108" s="13" t="n"/>
      <c r="F108" s="13" t="n"/>
    </row>
    <row r="109" ht="34" customHeight="1">
      <c r="A109" s="13" t="n"/>
      <c r="B109" s="13" t="n"/>
      <c r="C109" s="13" t="n"/>
      <c r="D109" s="13" t="n"/>
      <c r="E109" s="13" t="n"/>
      <c r="F109" s="13" t="n"/>
    </row>
    <row r="110" ht="34" customHeight="1">
      <c r="A110" s="13" t="n"/>
      <c r="B110" s="13" t="n"/>
      <c r="C110" s="13" t="n"/>
      <c r="D110" s="13" t="n"/>
      <c r="E110" s="13" t="n"/>
      <c r="F110" s="13" t="n"/>
    </row>
    <row r="111" ht="34" customHeight="1">
      <c r="A111" s="13" t="n"/>
      <c r="B111" s="13" t="n"/>
      <c r="C111" s="13" t="n"/>
      <c r="D111" s="13" t="n"/>
      <c r="E111" s="13" t="n"/>
      <c r="F111" s="13" t="n"/>
    </row>
  </sheetData>
  <dataValidations count="1">
    <dataValidation sqref="D6:D304" showDropDown="0" showInputMessage="0" showErrorMessage="0" allowBlank="1" type="list">
      <formula1>"Aprobado,Fallido,Bloqueado,No concluyente,No ejecutado"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6" customWidth="1" min="4" max="4"/>
    <col width="44" customWidth="1" min="5" max="5"/>
    <col width="36" customWidth="1" min="6" max="6"/>
    <col width="36" customWidth="1" min="7" max="7"/>
    <col width="12" customWidth="1" min="8" max="8"/>
    <col width="24" customWidth="1" min="9" max="9"/>
  </cols>
  <sheetData>
    <row r="1">
      <c r="A1" s="1" t="inlineStr">
        <is>
          <t>Reporte de defectos</t>
        </is>
      </c>
    </row>
    <row r="2">
      <c r="A2" s="2" t="inlineStr">
        <is>
          <t>Entregable 4 del plan. Severidad según el apartado 7.1: Crítico, Medio o Leve. DEF-01 no es un ejemplo: es un hallazgo real detectado en la exploración preliminar del sistema.</t>
        </is>
      </c>
    </row>
    <row r="3"/>
    <row r="4">
      <c r="A4" s="3" t="inlineStr">
        <is>
          <t>ID</t>
        </is>
      </c>
      <c r="B4" s="3" t="inlineStr">
        <is>
          <t>Título</t>
        </is>
      </c>
      <c r="C4" s="3" t="inlineStr">
        <is>
          <t>Módulo</t>
        </is>
      </c>
      <c r="D4" s="3" t="inlineStr">
        <is>
          <t>Caso relacionado</t>
        </is>
      </c>
      <c r="E4" s="3" t="inlineStr">
        <is>
          <t>Pasos de reproducción</t>
        </is>
      </c>
      <c r="F4" s="3" t="inlineStr">
        <is>
          <t>Resultado obtenido</t>
        </is>
      </c>
      <c r="G4" s="3" t="inlineStr">
        <is>
          <t>Resultado esperado</t>
        </is>
      </c>
      <c r="H4" s="3" t="inlineStr">
        <is>
          <t>Severidad</t>
        </is>
      </c>
      <c r="I4" s="3" t="inlineStr">
        <is>
          <t>Evidencia</t>
        </is>
      </c>
    </row>
    <row r="5" ht="70" customHeight="1">
      <c r="A5" s="4" t="inlineStr">
        <is>
          <t>DEF-01</t>
        </is>
      </c>
      <c r="B5" s="4" t="inlineStr">
        <is>
          <t>Las etiquetas de los formularios no están asociadas a sus campos</t>
        </is>
      </c>
      <c r="C5" s="4" t="inlineStr">
        <is>
          <t>Interfaz y accesibilidad</t>
        </is>
      </c>
      <c r="D5" s="4" t="inlineStr">
        <is>
          <t>CP-INT-01</t>
        </is>
      </c>
      <c r="E5" s="4" t="inlineStr">
        <is>
          <t>1. Abrir el carrito con un producto y pulsar Place Order.
2. Inspeccionar el árbol de accesibilidad del formulario.</t>
        </is>
      </c>
      <c r="F5" s="4" t="inlineStr">
        <is>
          <t>El campo que sigue a la etiqueta Name se anuncia como Total. En el formulario Contact, el campo posterior a Contact Name se anuncia como Contact Email.</t>
        </is>
      </c>
      <c r="G5" s="4" t="inlineStr">
        <is>
          <t>Cada campo se anuncia con la etiqueta que le corresponde.</t>
        </is>
      </c>
      <c r="H5" s="4" t="inlineStr">
        <is>
          <t>Medio</t>
        </is>
      </c>
      <c r="I5" s="4" t="inlineStr">
        <is>
          <t>arbol-accesibilidad-place-order.png</t>
        </is>
      </c>
    </row>
    <row r="6" ht="64" customHeight="1">
      <c r="A6" s="4" t="inlineStr">
        <is>
          <t>DEF-02</t>
        </is>
      </c>
      <c r="B6" s="4" t="inlineStr">
        <is>
          <t>Un producto que no existe se muestra como si existiera y se puede agregar al carrito</t>
        </is>
      </c>
      <c r="C6" s="4" t="inlineStr">
        <is>
          <t>Detalle de producto</t>
        </is>
      </c>
      <c r="D6" s="4" t="inlineStr">
        <is>
          <t>CP-DET-03, CP-ISP-04</t>
        </is>
      </c>
      <c r="E6" s="4" t="inlineStr">
        <is>
          <t>1. Abrir prod.html?idp_=99999.
2. Observar título, precio y descripción.
3. Pulsar Add to cart.
4. Abrir el carrito.</t>
        </is>
      </c>
      <c r="F6" s="4" t="inlineStr">
        <is>
          <t>La ficha muestra undefined en los tres campos, con imagen rota. Al agregar al carrito el sitio responde Product added, pero el carrito queda vacío. El servicio /view responde 200 OK con {"errorMessage":"Not found."}.</t>
        </is>
      </c>
      <c r="G6" s="4" t="inlineStr">
        <is>
          <t>El servicio responde 404 y la interfaz muestra un mensaje comprensible. No debe ofrecerse agregar al carrito.</t>
        </is>
      </c>
      <c r="H6" s="4" t="inlineStr">
        <is>
          <t>Medio</t>
        </is>
      </c>
      <c r="I6" s="4" t="inlineStr">
        <is>
          <t>defecto-producto-inexistente.png</t>
        </is>
      </c>
    </row>
    <row r="7" ht="64" customHeight="1">
      <c r="A7" s="4" t="inlineStr">
        <is>
          <t>DEF-03</t>
        </is>
      </c>
      <c r="B7" s="4" t="inlineStr">
        <is>
          <t>Se puede completar una compra con el carrito vacío y se emite un comprobante por 0 USD</t>
        </is>
      </c>
      <c r="C7" s="4" t="inlineStr">
        <is>
          <t>Orden de compra</t>
        </is>
      </c>
      <c r="D7" s="4" t="inlineStr">
        <is>
          <t>CP-COM-02</t>
        </is>
      </c>
      <c r="E7" s="4" t="inlineStr">
        <is>
          <t>1. Vaciar el carrito.
2. Pulsar Place Order.
3. Llenar los campos con datos válidos.
4. Pulsar Purchase.</t>
        </is>
      </c>
      <c r="F7" s="4" t="inlineStr">
        <is>
          <t>La compra se completa y emite el comprobante Id 5215762 por Amount: 0 USD.</t>
        </is>
      </c>
      <c r="G7" s="4" t="inlineStr">
        <is>
          <t>El sistema impide comprar con el carrito vacío y no genera comprobante.</t>
        </is>
      </c>
      <c r="H7" s="4" t="inlineStr">
        <is>
          <t>Crítico</t>
        </is>
      </c>
      <c r="I7" s="4" t="inlineStr">
        <is>
          <t>defecto-comprobante.png</t>
        </is>
      </c>
    </row>
    <row r="8" ht="64" customHeight="1">
      <c r="A8" s="4" t="inlineStr">
        <is>
          <t>DEF-04</t>
        </is>
      </c>
      <c r="B8" s="4" t="inlineStr">
        <is>
          <t>El número de tarjeta no se valida: acepta letras y símbolos</t>
        </is>
      </c>
      <c r="C8" s="4" t="inlineStr">
        <is>
          <t>Orden de compra</t>
        </is>
      </c>
      <c r="D8" s="4" t="inlineStr">
        <is>
          <t>CP-COM-05</t>
        </is>
      </c>
      <c r="E8" s="4" t="inlineStr">
        <is>
          <t>1. Agregar un producto al carrito.
2. Pulsar Place Order.
3. Escribir abcd-efgh-!!!! en el campo de tarjeta.
4. Completar el resto y pulsar Purchase.</t>
        </is>
      </c>
      <c r="F8" s="4" t="inlineStr">
        <is>
          <t>La compra se completa y el comprobante reproduce abcd-efgh-!!!! como número de tarjeta.</t>
        </is>
      </c>
      <c r="G8" s="4" t="inlineStr">
        <is>
          <t>El sistema rechaza un número de tarjeta con caracteres no numéricos.</t>
        </is>
      </c>
      <c r="H8" s="4" t="inlineStr">
        <is>
          <t>Crítico</t>
        </is>
      </c>
      <c r="I8" s="4" t="inlineStr">
        <is>
          <t>defecto-comprobante.png</t>
        </is>
      </c>
    </row>
    <row r="9" ht="64" customHeight="1">
      <c r="A9" s="4" t="inlineStr">
        <is>
          <t>DEF-05</t>
        </is>
      </c>
      <c r="B9" s="4" t="inlineStr">
        <is>
          <t>La fecha del comprobante muestra el mes anterior al real</t>
        </is>
      </c>
      <c r="C9" s="4" t="inlineStr">
        <is>
          <t>Orden de compra</t>
        </is>
      </c>
      <c r="D9" s="4" t="inlineStr">
        <is>
          <t>CP-COM-07</t>
        </is>
      </c>
      <c r="E9" s="4" t="inlineStr">
        <is>
          <t>1. Completar cualquier compra el 15 de septiembre de 2026.
2. Leer la fecha del comprobante.</t>
        </is>
      </c>
      <c r="F9" s="4" t="inlineStr">
        <is>
          <t>El comprobante dice Date: 15/8/2026 cuando la compra se hizo el 15 de septiembre. El mes va corrido en uno, lo que apunta a un índice de mes que empieza en cero.</t>
        </is>
      </c>
      <c r="G9" s="4" t="inlineStr">
        <is>
          <t>La fecha del comprobante corresponde al día en que se hizo la compra.</t>
        </is>
      </c>
      <c r="H9" s="4" t="inlineStr">
        <is>
          <t>Medio</t>
        </is>
      </c>
      <c r="I9" s="4" t="inlineStr">
        <is>
          <t>defecto-comprobante.png</t>
        </is>
      </c>
    </row>
    <row r="10" ht="64" customHeight="1">
      <c r="A10" s="4" t="inlineStr">
        <is>
          <t>DEF-06</t>
        </is>
      </c>
      <c r="B10" s="4" t="inlineStr">
        <is>
          <t>El formulario de contacto acepta campos vacíos y correos con formato inválido</t>
        </is>
      </c>
      <c r="C10" s="4" t="inlineStr">
        <is>
          <t>Contacto</t>
        </is>
      </c>
      <c r="D10" s="4" t="inlineStr">
        <is>
          <t>CP-CON-02, CP-CON-03</t>
        </is>
      </c>
      <c r="E10" s="4" t="inlineStr">
        <is>
          <t>1. Abrir Contact.
2. Enviar con los tres campos vacíos.
3. Repetir con el correo correo-sin-arroba.</t>
        </is>
      </c>
      <c r="F10" s="4" t="inlineStr">
        <is>
          <t>En los dos casos responde Thanks for the message!! como si el envío hubiera sido correcto.</t>
        </is>
      </c>
      <c r="G10" s="4" t="inlineStr">
        <is>
          <t>El sistema exige los campos obligatorios y valida el formato del correo.</t>
        </is>
      </c>
      <c r="H10" s="4" t="inlineStr">
        <is>
          <t>Medio</t>
        </is>
      </c>
      <c r="I10" s="4" t="inlineStr"/>
    </row>
    <row r="11" ht="64" customHeight="1">
      <c r="A11" s="4" t="inlineStr">
        <is>
          <t>DEF-07</t>
        </is>
      </c>
      <c r="B11" s="4" t="inlineStr">
        <is>
          <t>Las métricas web esenciales no cumplen los umbrales, sobre todo en móvil</t>
        </is>
      </c>
      <c r="C11" s="4" t="inlineStr">
        <is>
          <t>Rendimiento</t>
        </is>
      </c>
      <c r="D11" s="4" t="inlineStr">
        <is>
          <t>CP-PER-01, CP-PER-02</t>
        </is>
      </c>
      <c r="E11" s="4" t="inlineStr">
        <is>
          <t>1. Analizar la portada en una herramienta de analisis de rendimiento.
2. Revisar la vista de Escritorio y la de Celulares.</t>
        </is>
      </c>
      <c r="F11" s="4" t="inlineStr">
        <is>
          <t>Escritorio: evaluación desaprobada por CLS 0,12 contra un umbral de 0,10. Móvil: desaprobada por LCP 3,4 s, CLS 0,23 y TTFB 1,1 s.</t>
        </is>
      </c>
      <c r="G11" s="4" t="inlineStr">
        <is>
          <t>Las tres métricas esenciales quedan dentro de los umbrales publicados por Google en las dos vistas.</t>
        </is>
      </c>
      <c r="H11" s="4" t="inlineStr">
        <is>
          <t>Medio</t>
        </is>
      </c>
      <c r="I11" s="4" t="inlineStr">
        <is>
          <t>rendimiento-movil.png</t>
        </is>
      </c>
    </row>
    <row r="12" ht="64" customHeight="1">
      <c r="A12" s="4" t="inlineStr">
        <is>
          <t>DEF-08</t>
        </is>
      </c>
      <c r="B12" s="4" t="inlineStr">
        <is>
          <t>El catálogo general y el filtro por categoría no son consistentes</t>
        </is>
      </c>
      <c r="C12" s="4" t="inlineStr">
        <is>
          <t>Catálogo</t>
        </is>
      </c>
      <c r="D12" s="4" t="inlineStr">
        <is>
          <t>CP-ISP-02</t>
        </is>
      </c>
      <c r="E12" s="4" t="inlineStr">
        <is>
          <t>1. Llamar a /entries y contar los productos.
2. Llamar a /bycat para phone, notebook y monitor y sumar.</t>
        </is>
      </c>
      <c r="F12" s="4" t="inlineStr">
        <is>
          <t>entries devuelve 9 productos y bycat suma 15. Seis productos no aparecen en la portada hasta pasar de página.</t>
        </is>
      </c>
      <c r="G12" s="4" t="inlineStr">
        <is>
          <t>Los dos servicios usan el mismo criterio, o la interfaz deja claro que el listado está paginado.</t>
        </is>
      </c>
      <c r="H12" s="4" t="inlineStr">
        <is>
          <t>Leve</t>
        </is>
      </c>
      <c r="I12" s="4" t="inlineStr"/>
    </row>
    <row r="13" ht="64" customHeight="1">
      <c r="A13" s="4" t="inlineStr">
        <is>
          <t>DEF-09</t>
        </is>
      </c>
      <c r="B13" s="4" t="inlineStr">
        <is>
          <t>El video de About us se descarga en todas las páginas aunque nunca se muestre</t>
        </is>
      </c>
      <c r="C13" s="4" t="inlineStr">
        <is>
          <t>Elementos de presentación</t>
        </is>
      </c>
      <c r="D13" s="4" t="inlineStr">
        <is>
          <t>CP-ISP-01</t>
        </is>
      </c>
      <c r="E13" s="4" t="inlineStr">
        <is>
          <t>1. Abrir cualquier página, incluida una ficha de producto.
2. Revisar el panel de red.</t>
        </is>
      </c>
      <c r="F13" s="4" t="inlineStr">
        <is>
          <t>Se descargan index.m3u8 y segmentos .ts desde hls.demoblaze.com sin que el usuario abra la ventana About us.</t>
        </is>
      </c>
      <c r="G13" s="4" t="inlineStr">
        <is>
          <t>El video se descarga solo cuando el usuario abre la ventana que lo contiene.</t>
        </is>
      </c>
      <c r="H13" s="4" t="inlineStr">
        <is>
          <t>Leve</t>
        </is>
      </c>
      <c r="I13" s="4" t="inlineStr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60" customHeight="1">
      <c r="A56" s="4" t="inlineStr">
        <is>
          <t>DEF-10</t>
        </is>
      </c>
      <c r="B56" s="4" t="inlineStr">
        <is>
          <t>No se envía ninguna cabecera de seguridad HTTP</t>
        </is>
      </c>
      <c r="C56" s="4" t="inlineStr">
        <is>
          <t>Seguridad</t>
        </is>
      </c>
      <c r="D56" s="4" t="inlineStr">
        <is>
          <t>CP-SEG-01</t>
        </is>
      </c>
      <c r="E56" s="4" t="inlineStr">
        <is>
          <t>1. Pedir la portada con una peticion directa.
2. Buscar cabeceras de seguridad en la respuesta.</t>
        </is>
      </c>
      <c r="F56" s="4" t="inlineStr">
        <is>
          <t>La respuesta no incluye Content-Security-Policy, Strict-Transport-Security, X-Frame-Options ni X-Content-Type-Options.</t>
        </is>
      </c>
      <c r="G56" s="4" t="inlineStr">
        <is>
          <t>La respuesta incluye las cabeceras de seguridad recomendadas.</t>
        </is>
      </c>
      <c r="H56" s="4" t="inlineStr">
        <is>
          <t>Medio</t>
        </is>
      </c>
      <c r="I56" s="4" t="inlineStr"/>
    </row>
    <row r="57" ht="60" customHeight="1">
      <c r="A57" s="4" t="inlineStr">
        <is>
          <t>DEF-11</t>
        </is>
      </c>
      <c r="B57" s="4" t="inlineStr">
        <is>
          <t>La contraseña se envía en base64, que es reversible</t>
        </is>
      </c>
      <c r="C57" s="4" t="inlineStr">
        <is>
          <t>Seguridad</t>
        </is>
      </c>
      <c r="D57" s="4" t="inlineStr">
        <is>
          <t>CP-SEG-02</t>
        </is>
      </c>
      <c r="E57" s="4" t="inlineStr">
        <is>
          <t>1. Enviar un login.
2. Decodificar el valor del campo password.</t>
        </is>
      </c>
      <c r="F57" s="4" t="inlineStr">
        <is>
          <t>El campo password viaja como base64. dGVzdDEyMw== decodifica directo a test123. Va sobre HTTPS, pero base64 no es un control de seguridad.</t>
        </is>
      </c>
      <c r="G57" s="4" t="inlineStr">
        <is>
          <t>La credencial se protege con un mecanismo que no sea simple codificación reversible.</t>
        </is>
      </c>
      <c r="H57" s="4" t="inlineStr">
        <is>
          <t>Leve</t>
        </is>
      </c>
      <c r="I57" s="4" t="inlineStr"/>
    </row>
    <row r="58" ht="60" customHeight="1">
      <c r="A58" s="4" t="inlineStr">
        <is>
          <t>DEF-12</t>
        </is>
      </c>
      <c r="B58" s="4" t="inlineStr">
        <is>
          <t>El login revela si un usuario existe</t>
        </is>
      </c>
      <c r="C58" s="4" t="inlineStr">
        <is>
          <t>Seguridad</t>
        </is>
      </c>
      <c r="D58" s="4" t="inlineStr">
        <is>
          <t>CP-SEG-03</t>
        </is>
      </c>
      <c r="E58" s="4" t="inlineStr">
        <is>
          <t>1. Pedir login con un usuario que no existe.
2. Leer el mensaje de error.</t>
        </is>
      </c>
      <c r="F58" s="4" t="inlineStr">
        <is>
          <t>El servicio responde con el texto exacto 'User does not exist.' para una cuenta inexistente y 'Wrong password.' para una que existe. Con admin, test y administrator se confirmo la diferencia, lo que permite enumerar cuentas registradas una por una.</t>
        </is>
      </c>
      <c r="G58" s="4" t="inlineStr">
        <is>
          <t>El mensaje de error es genérico y no permite distinguir si la cuenta existe.</t>
        </is>
      </c>
      <c r="H58" s="4" t="inlineStr">
        <is>
          <t>Medio</t>
        </is>
      </c>
      <c r="I58" s="4" t="inlineStr"/>
    </row>
    <row r="59" ht="66" customHeight="1">
      <c r="A59" s="4" t="inlineStr">
        <is>
          <t>DEF-13</t>
        </is>
      </c>
      <c r="B59" s="4" t="inlineStr">
        <is>
          <t>La API acepta peticiones con credenciales desde cualquier origen (CORS mal configurado)</t>
        </is>
      </c>
      <c r="C59" s="4" t="inlineStr">
        <is>
          <t>Seguridad</t>
        </is>
      </c>
      <c r="D59" s="4" t="inlineStr">
        <is>
          <t>CP-SEG-06</t>
        </is>
      </c>
      <c r="E59" s="4" t="inlineStr">
        <is>
          <t>1. Enviar una peticion OPTIONS a /login con un Origin inventado.
2. Leer las cabeceras Access-Control de la respuesta.</t>
        </is>
      </c>
      <c r="F59" s="4" t="inlineStr">
        <is>
          <t>La API refleja el origen inventado en Access-Control-Allow-Origin y ademas responde Access-Control-Allow-Credentials: true. Cualquier sitio web puede llamar a la API con las credenciales del usuario.</t>
        </is>
      </c>
      <c r="G59" s="4" t="inlineStr">
        <is>
          <t>La API solo autoriza los origenes propios, y nunca combina un origen reflejado con credenciales habilitadas.</t>
        </is>
      </c>
      <c r="H59" s="4" t="inlineStr">
        <is>
          <t>Medio</t>
        </is>
      </c>
      <c r="I59" s="4" t="inlineStr"/>
    </row>
    <row r="60" ht="60" customHeight="1">
      <c r="A60" s="4" t="inlineStr">
        <is>
          <t>DEF-14</t>
        </is>
      </c>
      <c r="B60" s="4" t="inlineStr">
        <is>
          <t>En el motor de Firefox los enlaces del menu superior se parten en dos lineas</t>
        </is>
      </c>
      <c r="C60" s="4" t="inlineStr">
        <is>
          <t>Compatibilidad</t>
        </is>
      </c>
      <c r="D60" s="4" t="inlineStr">
        <is>
          <t>CP-COMP-02</t>
        </is>
      </c>
      <c r="E60" s="4" t="inlineStr">
        <is>
          <t>1. Abrir la tienda en un navegador con motor Gecko (Tor Browser 14.5).
2. Mirar la barra de navegacion superior.</t>
        </is>
      </c>
      <c r="F60" s="4" t="inlineStr">
        <is>
          <t>Los enlaces About us, Log in y Sign up se parten en dos lineas, mientras que en Chrome van en una sola. Pasa porque Tor Browser usa su propia fuente y el texto queda mas ancho.</t>
        </is>
      </c>
      <c r="G60" s="4" t="inlineStr">
        <is>
          <t>El menu se ve igual en los dos motores, con cada enlace en una sola linea.</t>
        </is>
      </c>
      <c r="H60" s="4" t="inlineStr">
        <is>
          <t>Leve</t>
        </is>
      </c>
      <c r="I60" s="4" t="inlineStr">
        <is>
          <t>compat-tor.png</t>
        </is>
      </c>
    </row>
    <row r="61" ht="64" customHeight="1">
      <c r="A61" s="4" t="inlineStr">
        <is>
          <t>DEF-15</t>
        </is>
      </c>
      <c r="B61" s="4" t="inlineStr">
        <is>
          <t>En ancho de telefono el menu no colapsa y el carrusel se ve vacio</t>
        </is>
      </c>
      <c r="C61" s="4" t="inlineStr">
        <is>
          <t>Compatibilidad</t>
        </is>
      </c>
      <c r="D61" s="4" t="inlineStr">
        <is>
          <t>CP-COMP-06</t>
        </is>
      </c>
      <c r="E61" s="4" t="inlineStr">
        <is>
          <t>1. Abrir la tienda a 375x667 (iPhone).
2. Mirar el menu superior y el carrusel.</t>
        </is>
      </c>
      <c r="F61" s="4" t="inlineStr">
        <is>
          <t>El menu superior no se recoge en un boton hamburguesa: los enlaces se amontonan en dos filas. El carrusel de la portada aparece vacio. Las categorias y productos si se apilan bien en una columna.</t>
        </is>
      </c>
      <c r="G61" s="4" t="inlineStr">
        <is>
          <t>El menu se recoge en un boton en ancho de telefono y el carrusel muestra su imagen.</t>
        </is>
      </c>
      <c r="H61" s="4" t="inlineStr">
        <is>
          <t>Medio</t>
        </is>
      </c>
      <c r="I61" s="4" t="inlineStr">
        <is>
          <t>resp-movil.png</t>
        </is>
      </c>
    </row>
  </sheetData>
  <dataValidations count="1">
    <dataValidation sqref="H6:H55" showDropDown="0" showInputMessage="0" showErrorMessage="0" allowBlank="1" type="list">
      <formula1>"Crítico,Medio,Leve"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Resumen de pruebas</t>
        </is>
      </c>
    </row>
    <row r="2">
      <c r="A2" s="2" t="inlineStr">
        <is>
          <t>Todas las cifras se calculan con fórmulas sobre las otras hojas. No escribas valores aquí.</t>
        </is>
      </c>
    </row>
    <row r="3"/>
    <row r="4">
      <c r="A4" s="6" t="inlineStr">
        <is>
          <t>Diseño de casos</t>
        </is>
      </c>
    </row>
    <row r="5">
      <c r="A5" s="7" t="inlineStr">
        <is>
          <t>Casos diseñados</t>
        </is>
      </c>
      <c r="B5" s="8">
        <f>COUNTA('Casos de prueba'!$A$5:$A$204)</f>
        <v/>
      </c>
    </row>
    <row r="6">
      <c r="A6" s="7" t="inlineStr">
        <is>
          <t>Casos de prioridad Alta</t>
        </is>
      </c>
      <c r="B6" s="8">
        <f>COUNTIF('Casos de prueba'!$C$5:$C$204,"Alta")</f>
        <v/>
      </c>
    </row>
    <row r="7">
      <c r="A7" s="7" t="inlineStr">
        <is>
          <t>Casos de prioridad Media</t>
        </is>
      </c>
      <c r="B7" s="8">
        <f>COUNTIF('Casos de prueba'!$C$5:$C$204,"Media")</f>
        <v/>
      </c>
    </row>
    <row r="8">
      <c r="A8" s="7" t="inlineStr">
        <is>
          <t>Casos de prioridad Baja</t>
        </is>
      </c>
      <c r="B8" s="8">
        <f>COUNTIF('Casos de prueba'!$C$5:$C$204,"Baja")</f>
        <v/>
      </c>
    </row>
    <row r="9"/>
    <row r="10">
      <c r="A10" s="6" t="inlineStr">
        <is>
          <t>Ejecución</t>
        </is>
      </c>
    </row>
    <row r="11">
      <c r="A11" s="7" t="inlineStr">
        <is>
          <t>Casos ejecutados</t>
        </is>
      </c>
      <c r="B11" s="8">
        <f>COUNTIF('Registro de ejecución'!$D$6:$D$304,"Aprobado")+COUNTIF('Registro de ejecución'!$D$6:$D$304,"Fallido")</f>
        <v/>
      </c>
    </row>
    <row r="12">
      <c r="A12" s="7" t="inlineStr">
        <is>
          <t>Aprobados</t>
        </is>
      </c>
      <c r="B12" s="8">
        <f>COUNTIF('Registro de ejecución'!$D$6:$D$304,"Aprobado")</f>
        <v/>
      </c>
    </row>
    <row r="13">
      <c r="A13" s="7" t="inlineStr">
        <is>
          <t>Fallidos</t>
        </is>
      </c>
      <c r="B13" s="8">
        <f>COUNTIF('Registro de ejecución'!$D$6:$D$304,"Fallido")</f>
        <v/>
      </c>
    </row>
    <row r="14">
      <c r="A14" s="7" t="inlineStr">
        <is>
          <t>Bloqueados</t>
        </is>
      </c>
      <c r="B14" s="8">
        <f>COUNTIF('Registro de ejecución'!$D$6:$D$304,"Bloqueado")</f>
        <v/>
      </c>
    </row>
    <row r="15">
      <c r="A15" s="7" t="inlineStr">
        <is>
          <t>No concluyentes</t>
        </is>
      </c>
      <c r="B15" s="8">
        <f>COUNTIF('Registro de ejecución'!$D$6:$D$304,"No concluyente")</f>
        <v/>
      </c>
    </row>
    <row r="16">
      <c r="A16" s="7" t="inlineStr">
        <is>
          <t>Tasa de aprobación</t>
        </is>
      </c>
      <c r="B16" s="9">
        <f>IFERROR(B12/B11,0)</f>
        <v/>
      </c>
    </row>
    <row r="17">
      <c r="A17" s="7" t="inlineStr">
        <is>
          <t>Cobertura de ejecución</t>
        </is>
      </c>
      <c r="B17" s="9">
        <f>IFERROR(B11/B5,0)</f>
        <v/>
      </c>
    </row>
    <row r="18"/>
    <row r="19">
      <c r="A19" s="6" t="inlineStr">
        <is>
          <t>Defectos</t>
        </is>
      </c>
    </row>
    <row r="20">
      <c r="A20" s="7" t="inlineStr">
        <is>
          <t>Defectos registrados</t>
        </is>
      </c>
      <c r="B20" s="8">
        <f>COUNTA('Reporte de defectos'!$A$5:$A$204)</f>
        <v/>
      </c>
    </row>
    <row r="21">
      <c r="A21" s="7" t="inlineStr">
        <is>
          <t>Críticos</t>
        </is>
      </c>
      <c r="B21" s="8">
        <f>COUNTIF('Reporte de defectos'!$H$5:$H$204,"Crítico")</f>
        <v/>
      </c>
    </row>
    <row r="22">
      <c r="A22" s="7" t="inlineStr">
        <is>
          <t>Medios</t>
        </is>
      </c>
      <c r="B22" s="8">
        <f>COUNTIF('Reporte de defectos'!$H$5:$H$204,"Medio")</f>
        <v/>
      </c>
    </row>
    <row r="23">
      <c r="A23" s="7" t="inlineStr">
        <is>
          <t>Leves</t>
        </is>
      </c>
      <c r="B23" s="8">
        <f>COUNTIF('Reporte de defectos'!$H$5:$H$204,"Leve")</f>
        <v/>
      </c>
    </row>
    <row r="24"/>
    <row r="25">
      <c r="A25" s="6" t="inlineStr">
        <is>
          <t>Criterios de salida del plan (apartado 2.2)</t>
        </is>
      </c>
    </row>
    <row r="26">
      <c r="A26" s="7" t="inlineStr">
        <is>
          <t>S1. Cobertura de ejecución mayor o igual a 80%</t>
        </is>
      </c>
      <c r="B26" s="8">
        <f>IF(B17&gt;=0.8,"Cumple","No cumple")</f>
        <v/>
      </c>
    </row>
    <row r="27">
      <c r="A27" s="7" t="inlineStr">
        <is>
          <t>S2. Tasa de aprobación mayor o igual a 90%</t>
        </is>
      </c>
      <c r="B27" s="8">
        <f>IF(B16&gt;=0.9,"Cumple","No cumple")</f>
        <v/>
      </c>
    </row>
    <row r="28"/>
    <row r="29">
      <c r="A29" s="6" t="inlineStr">
        <is>
          <t>Detalle del registro</t>
        </is>
      </c>
    </row>
    <row r="30">
      <c r="A30" s="7" t="inlineStr">
        <is>
          <t>Bloqueados por política (cuentas y contraseñas)</t>
        </is>
      </c>
      <c r="B30" s="7">
        <f>COUNTIF('Registro de ejecución'!$D$6:$D$304,"Bloqueado")</f>
        <v/>
      </c>
    </row>
    <row r="31">
      <c r="A31" s="7" t="inlineStr">
        <is>
          <t>No ejecutados</t>
        </is>
      </c>
      <c r="B31" s="7">
        <f>COUNTIF('Registro de ejecución'!$D$6:$D$304,"No ejecutado")</f>
        <v/>
      </c>
    </row>
    <row r="32">
      <c r="A32" s="7" t="inlineStr">
        <is>
          <t>No concluyentes</t>
        </is>
      </c>
      <c r="B32" s="7">
        <f>COUNTIF('Registro de ejecución'!$D$6:$D$304,"No concluyente")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2026-09-15T15:16:20Z</dcterms:created>
  <dcterms:modified xsi:type="dcterms:W3CDTF">2026-09-15T18:24:54Z</dcterms:modified>
</cp:coreProperties>
</file>